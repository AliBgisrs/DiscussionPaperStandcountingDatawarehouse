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azrafka\Desktop\counting\DiscussionPaperData\Outputs\sevrec25_\excel\Joined\"/>
    </mc:Choice>
  </mc:AlternateContent>
  <xr:revisionPtr revIDLastSave="0" documentId="13_ncr:1_{35520AE2-8AEE-4526-AA39-2060A4D23764}" xr6:coauthVersionLast="47" xr6:coauthVersionMax="47" xr10:uidLastSave="{00000000-0000-0000-0000-000000000000}"/>
  <bookViews>
    <workbookView xWindow="30" yWindow="750" windowWidth="20460" windowHeight="1077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Sheet1!$J$1:$J$723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16" i="1" l="1"/>
  <c r="U666" i="1"/>
  <c r="U712" i="1"/>
  <c r="U654" i="1"/>
  <c r="U698" i="1"/>
  <c r="U682" i="1"/>
  <c r="U707" i="1"/>
  <c r="U649" i="1"/>
  <c r="U672" i="1"/>
  <c r="U713" i="1"/>
  <c r="U660" i="1"/>
  <c r="U662" i="1"/>
  <c r="U702" i="1"/>
  <c r="U704" i="1"/>
  <c r="U694" i="1"/>
  <c r="U653" i="1"/>
  <c r="U692" i="1"/>
  <c r="T668" i="1"/>
  <c r="U668" i="1" s="1"/>
  <c r="T699" i="1"/>
  <c r="U699" i="1" s="1"/>
  <c r="T701" i="1"/>
  <c r="U701" i="1" s="1"/>
  <c r="T636" i="1"/>
  <c r="U636" i="1" s="1"/>
  <c r="T650" i="1"/>
  <c r="U650" i="1" s="1"/>
  <c r="T687" i="1"/>
  <c r="U687" i="1" s="1"/>
  <c r="T634" i="1"/>
  <c r="U634" i="1" s="1"/>
  <c r="T630" i="1"/>
  <c r="U630" i="1" s="1"/>
  <c r="T716" i="1"/>
  <c r="T644" i="1"/>
  <c r="U644" i="1" s="1"/>
  <c r="T656" i="1"/>
  <c r="U656" i="1" s="1"/>
  <c r="T695" i="1"/>
  <c r="U695" i="1" s="1"/>
  <c r="T706" i="1"/>
  <c r="U706" i="1" s="1"/>
  <c r="T717" i="1"/>
  <c r="U717" i="1" s="1"/>
  <c r="T629" i="1"/>
  <c r="U629" i="1" s="1"/>
  <c r="T647" i="1"/>
  <c r="U647" i="1" s="1"/>
  <c r="T671" i="1"/>
  <c r="U671" i="1" s="1"/>
  <c r="T632" i="1"/>
  <c r="U632" i="1" s="1"/>
  <c r="T639" i="1"/>
  <c r="U639" i="1" s="1"/>
  <c r="T665" i="1"/>
  <c r="U665" i="1" s="1"/>
  <c r="T637" i="1"/>
  <c r="U637" i="1" s="1"/>
  <c r="T681" i="1"/>
  <c r="U681" i="1" s="1"/>
  <c r="T659" i="1"/>
  <c r="U659" i="1" s="1"/>
  <c r="T700" i="1"/>
  <c r="U700" i="1" s="1"/>
  <c r="T715" i="1"/>
  <c r="U715" i="1" s="1"/>
  <c r="T667" i="1"/>
  <c r="U667" i="1" s="1"/>
  <c r="T658" i="1"/>
  <c r="U658" i="1" s="1"/>
  <c r="T708" i="1"/>
  <c r="U708" i="1" s="1"/>
  <c r="T686" i="1"/>
  <c r="U686" i="1" s="1"/>
  <c r="T666" i="1"/>
  <c r="T661" i="1"/>
  <c r="U661" i="1" s="1"/>
  <c r="T680" i="1"/>
  <c r="U680" i="1" s="1"/>
  <c r="T710" i="1"/>
  <c r="U710" i="1" s="1"/>
  <c r="T676" i="1"/>
  <c r="U676" i="1" s="1"/>
  <c r="T712" i="1"/>
  <c r="T714" i="1"/>
  <c r="U714" i="1" s="1"/>
  <c r="T652" i="1"/>
  <c r="U652" i="1" s="1"/>
  <c r="T654" i="1"/>
  <c r="T698" i="1"/>
  <c r="T682" i="1"/>
  <c r="T707" i="1"/>
  <c r="T688" i="1"/>
  <c r="U688" i="1" s="1"/>
  <c r="T685" i="1"/>
  <c r="U685" i="1" s="1"/>
  <c r="T673" i="1"/>
  <c r="U673" i="1" s="1"/>
  <c r="T640" i="1"/>
  <c r="U640" i="1" s="1"/>
  <c r="T721" i="1"/>
  <c r="U721" i="1" s="1"/>
  <c r="T645" i="1"/>
  <c r="U645" i="1" s="1"/>
  <c r="T641" i="1"/>
  <c r="U641" i="1" s="1"/>
  <c r="T649" i="1"/>
  <c r="T672" i="1"/>
  <c r="T631" i="1"/>
  <c r="U631" i="1" s="1"/>
  <c r="T664" i="1"/>
  <c r="U664" i="1" s="1"/>
  <c r="T684" i="1"/>
  <c r="U684" i="1" s="1"/>
  <c r="T691" i="1"/>
  <c r="U691" i="1" s="1"/>
  <c r="T642" i="1"/>
  <c r="U642" i="1" s="1"/>
  <c r="T697" i="1"/>
  <c r="U697" i="1" s="1"/>
  <c r="T690" i="1"/>
  <c r="U690" i="1" s="1"/>
  <c r="T651" i="1"/>
  <c r="U651" i="1" s="1"/>
  <c r="T713" i="1"/>
  <c r="T660" i="1"/>
  <c r="T689" i="1"/>
  <c r="U689" i="1" s="1"/>
  <c r="T722" i="1"/>
  <c r="U722" i="1" s="1"/>
  <c r="T646" i="1"/>
  <c r="U646" i="1" s="1"/>
  <c r="T679" i="1"/>
  <c r="U679" i="1" s="1"/>
  <c r="T723" i="1"/>
  <c r="U723" i="1" s="1"/>
  <c r="T674" i="1"/>
  <c r="U674" i="1" s="1"/>
  <c r="T675" i="1"/>
  <c r="U675" i="1" s="1"/>
  <c r="T655" i="1"/>
  <c r="U655" i="1" s="1"/>
  <c r="T677" i="1"/>
  <c r="U677" i="1" s="1"/>
  <c r="T669" i="1"/>
  <c r="U669" i="1" s="1"/>
  <c r="T628" i="1"/>
  <c r="U628" i="1" s="1"/>
  <c r="T696" i="1"/>
  <c r="U696" i="1" s="1"/>
  <c r="T709" i="1"/>
  <c r="U709" i="1" s="1"/>
  <c r="T703" i="1"/>
  <c r="U703" i="1" s="1"/>
  <c r="T683" i="1"/>
  <c r="U683" i="1" s="1"/>
  <c r="T635" i="1"/>
  <c r="U635" i="1" s="1"/>
  <c r="T662" i="1"/>
  <c r="T702" i="1"/>
  <c r="T657" i="1"/>
  <c r="U657" i="1" s="1"/>
  <c r="T704" i="1"/>
  <c r="T694" i="1"/>
  <c r="T719" i="1"/>
  <c r="U719" i="1" s="1"/>
  <c r="T648" i="1"/>
  <c r="U648" i="1" s="1"/>
  <c r="T693" i="1"/>
  <c r="U693" i="1" s="1"/>
  <c r="T718" i="1"/>
  <c r="U718" i="1" s="1"/>
  <c r="T670" i="1"/>
  <c r="U670" i="1" s="1"/>
  <c r="T678" i="1"/>
  <c r="U678" i="1" s="1"/>
  <c r="T643" i="1"/>
  <c r="U643" i="1" s="1"/>
  <c r="T653" i="1"/>
  <c r="T692" i="1"/>
  <c r="T720" i="1"/>
  <c r="U720" i="1" s="1"/>
  <c r="T711" i="1"/>
  <c r="U711" i="1" s="1"/>
  <c r="T663" i="1"/>
  <c r="U663" i="1" s="1"/>
  <c r="T705" i="1"/>
  <c r="U705" i="1" s="1"/>
  <c r="T633" i="1"/>
  <c r="U633" i="1" s="1"/>
  <c r="T638" i="1"/>
  <c r="U638" i="1" s="1"/>
  <c r="U569" i="1"/>
  <c r="U600" i="1"/>
  <c r="U619" i="1"/>
  <c r="U561" i="1"/>
  <c r="T612" i="1"/>
  <c r="U612" i="1" s="1"/>
  <c r="T621" i="1"/>
  <c r="U621" i="1" s="1"/>
  <c r="T579" i="1"/>
  <c r="U579" i="1" s="1"/>
  <c r="T575" i="1"/>
  <c r="U575" i="1" s="1"/>
  <c r="T589" i="1"/>
  <c r="U589" i="1" s="1"/>
  <c r="T590" i="1"/>
  <c r="U590" i="1" s="1"/>
  <c r="T574" i="1"/>
  <c r="U574" i="1" s="1"/>
  <c r="T591" i="1"/>
  <c r="U591" i="1" s="1"/>
  <c r="T581" i="1"/>
  <c r="U581" i="1" s="1"/>
  <c r="T624" i="1"/>
  <c r="U624" i="1" s="1"/>
  <c r="T576" i="1"/>
  <c r="U576" i="1" s="1"/>
  <c r="T563" i="1"/>
  <c r="U563" i="1" s="1"/>
  <c r="T596" i="1"/>
  <c r="U596" i="1" s="1"/>
  <c r="T560" i="1"/>
  <c r="U560" i="1" s="1"/>
  <c r="T618" i="1"/>
  <c r="U618" i="1" s="1"/>
  <c r="T606" i="1"/>
  <c r="U606" i="1" s="1"/>
  <c r="T608" i="1"/>
  <c r="U608" i="1" s="1"/>
  <c r="T562" i="1"/>
  <c r="U562" i="1" s="1"/>
  <c r="T573" i="1"/>
  <c r="U573" i="1" s="1"/>
  <c r="T601" i="1"/>
  <c r="U601" i="1" s="1"/>
  <c r="T567" i="1"/>
  <c r="U567" i="1" s="1"/>
  <c r="T554" i="1"/>
  <c r="U554" i="1" s="1"/>
  <c r="T569" i="1"/>
  <c r="T600" i="1"/>
  <c r="T619" i="1"/>
  <c r="T616" i="1"/>
  <c r="U616" i="1" s="1"/>
  <c r="T564" i="1"/>
  <c r="U564" i="1" s="1"/>
  <c r="T595" i="1"/>
  <c r="U595" i="1" s="1"/>
  <c r="T609" i="1"/>
  <c r="U609" i="1" s="1"/>
  <c r="T585" i="1"/>
  <c r="U585" i="1" s="1"/>
  <c r="T566" i="1"/>
  <c r="U566" i="1" s="1"/>
  <c r="T627" i="1"/>
  <c r="U627" i="1" s="1"/>
  <c r="T570" i="1"/>
  <c r="U570" i="1" s="1"/>
  <c r="T577" i="1"/>
  <c r="U577" i="1" s="1"/>
  <c r="T571" i="1"/>
  <c r="U571" i="1" s="1"/>
  <c r="T599" i="1"/>
  <c r="U599" i="1" s="1"/>
  <c r="T558" i="1"/>
  <c r="U558" i="1" s="1"/>
  <c r="T568" i="1"/>
  <c r="U568" i="1" s="1"/>
  <c r="T556" i="1"/>
  <c r="U556" i="1" s="1"/>
  <c r="T565" i="1"/>
  <c r="U565" i="1" s="1"/>
  <c r="T607" i="1"/>
  <c r="U607" i="1" s="1"/>
  <c r="T555" i="1"/>
  <c r="U555" i="1" s="1"/>
  <c r="T557" i="1"/>
  <c r="U557" i="1" s="1"/>
  <c r="T559" i="1"/>
  <c r="U559" i="1" s="1"/>
  <c r="T622" i="1"/>
  <c r="U622" i="1" s="1"/>
  <c r="T587" i="1"/>
  <c r="U587" i="1" s="1"/>
  <c r="T611" i="1"/>
  <c r="U611" i="1" s="1"/>
  <c r="T598" i="1"/>
  <c r="U598" i="1" s="1"/>
  <c r="T586" i="1"/>
  <c r="U586" i="1" s="1"/>
  <c r="T578" i="1"/>
  <c r="U578" i="1" s="1"/>
  <c r="T602" i="1"/>
  <c r="U602" i="1" s="1"/>
  <c r="T572" i="1"/>
  <c r="U572" i="1" s="1"/>
  <c r="T561" i="1"/>
  <c r="T614" i="1"/>
  <c r="U614" i="1" s="1"/>
  <c r="T613" i="1"/>
  <c r="U613" i="1" s="1"/>
  <c r="T610" i="1"/>
  <c r="U610" i="1" s="1"/>
  <c r="T620" i="1"/>
  <c r="U620" i="1" s="1"/>
  <c r="T588" i="1"/>
  <c r="U588" i="1" s="1"/>
  <c r="T623" i="1"/>
  <c r="U623" i="1" s="1"/>
  <c r="T594" i="1"/>
  <c r="U594" i="1" s="1"/>
  <c r="T617" i="1"/>
  <c r="U617" i="1" s="1"/>
  <c r="T580" i="1"/>
  <c r="U580" i="1" s="1"/>
  <c r="T583" i="1"/>
  <c r="U583" i="1" s="1"/>
  <c r="T603" i="1"/>
  <c r="U603" i="1" s="1"/>
  <c r="T584" i="1"/>
  <c r="U584" i="1" s="1"/>
  <c r="T615" i="1"/>
  <c r="U615" i="1" s="1"/>
  <c r="T604" i="1"/>
  <c r="U604" i="1" s="1"/>
  <c r="T582" i="1"/>
  <c r="U582" i="1" s="1"/>
  <c r="T605" i="1"/>
  <c r="U605" i="1" s="1"/>
  <c r="T592" i="1"/>
  <c r="U592" i="1" s="1"/>
  <c r="T597" i="1"/>
  <c r="U597" i="1" s="1"/>
  <c r="T593" i="1"/>
  <c r="U593" i="1" s="1"/>
  <c r="T625" i="1"/>
  <c r="U625" i="1" s="1"/>
  <c r="T626" i="1"/>
  <c r="U626" i="1" s="1"/>
  <c r="U529" i="1"/>
  <c r="T505" i="1"/>
  <c r="U505" i="1" s="1"/>
  <c r="T550" i="1"/>
  <c r="U550" i="1" s="1"/>
  <c r="T522" i="1"/>
  <c r="U522" i="1" s="1"/>
  <c r="T482" i="1"/>
  <c r="U482" i="1" s="1"/>
  <c r="T483" i="1"/>
  <c r="U483" i="1" s="1"/>
  <c r="T532" i="1"/>
  <c r="U532" i="1" s="1"/>
  <c r="T484" i="1"/>
  <c r="U484" i="1" s="1"/>
  <c r="T546" i="1"/>
  <c r="U546" i="1" s="1"/>
  <c r="T493" i="1"/>
  <c r="U493" i="1" s="1"/>
  <c r="T494" i="1"/>
  <c r="U494" i="1" s="1"/>
  <c r="T502" i="1"/>
  <c r="U502" i="1" s="1"/>
  <c r="T507" i="1"/>
  <c r="U507" i="1" s="1"/>
  <c r="T518" i="1"/>
  <c r="U518" i="1" s="1"/>
  <c r="T489" i="1"/>
  <c r="U489" i="1" s="1"/>
  <c r="T520" i="1"/>
  <c r="U520" i="1" s="1"/>
  <c r="T537" i="1"/>
  <c r="U537" i="1" s="1"/>
  <c r="T488" i="1"/>
  <c r="U488" i="1" s="1"/>
  <c r="T523" i="1"/>
  <c r="U523" i="1" s="1"/>
  <c r="T531" i="1"/>
  <c r="U531" i="1" s="1"/>
  <c r="T530" i="1"/>
  <c r="U530" i="1" s="1"/>
  <c r="T529" i="1"/>
  <c r="T528" i="1"/>
  <c r="U528" i="1" s="1"/>
  <c r="T485" i="1"/>
  <c r="U485" i="1" s="1"/>
  <c r="T503" i="1"/>
  <c r="U503" i="1" s="1"/>
  <c r="T498" i="1"/>
  <c r="U498" i="1" s="1"/>
  <c r="T513" i="1"/>
  <c r="U513" i="1" s="1"/>
  <c r="T510" i="1"/>
  <c r="U510" i="1" s="1"/>
  <c r="T511" i="1"/>
  <c r="U511" i="1" s="1"/>
  <c r="T527" i="1"/>
  <c r="U527" i="1" s="1"/>
  <c r="T538" i="1"/>
  <c r="U538" i="1" s="1"/>
  <c r="T541" i="1"/>
  <c r="U541" i="1" s="1"/>
  <c r="T509" i="1"/>
  <c r="U509" i="1" s="1"/>
  <c r="T526" i="1"/>
  <c r="U526" i="1" s="1"/>
  <c r="T496" i="1"/>
  <c r="U496" i="1" s="1"/>
  <c r="T486" i="1"/>
  <c r="U486" i="1" s="1"/>
  <c r="T487" i="1"/>
  <c r="U487" i="1" s="1"/>
  <c r="T491" i="1"/>
  <c r="U491" i="1" s="1"/>
  <c r="T497" i="1"/>
  <c r="U497" i="1" s="1"/>
  <c r="T534" i="1"/>
  <c r="U534" i="1" s="1"/>
  <c r="T547" i="1"/>
  <c r="U547" i="1" s="1"/>
  <c r="T492" i="1"/>
  <c r="U492" i="1" s="1"/>
  <c r="T533" i="1"/>
  <c r="U533" i="1" s="1"/>
  <c r="T501" i="1"/>
  <c r="U501" i="1" s="1"/>
  <c r="T514" i="1"/>
  <c r="U514" i="1" s="1"/>
  <c r="T524" i="1"/>
  <c r="U524" i="1" s="1"/>
  <c r="T552" i="1"/>
  <c r="U552" i="1" s="1"/>
  <c r="T540" i="1"/>
  <c r="U540" i="1" s="1"/>
  <c r="T551" i="1"/>
  <c r="U551" i="1" s="1"/>
  <c r="T544" i="1"/>
  <c r="U544" i="1" s="1"/>
  <c r="T553" i="1"/>
  <c r="U553" i="1" s="1"/>
  <c r="T516" i="1"/>
  <c r="U516" i="1" s="1"/>
  <c r="T549" i="1"/>
  <c r="U549" i="1" s="1"/>
  <c r="T545" i="1"/>
  <c r="U545" i="1" s="1"/>
  <c r="T508" i="1"/>
  <c r="U508" i="1" s="1"/>
  <c r="T535" i="1"/>
  <c r="U535" i="1" s="1"/>
  <c r="T543" i="1"/>
  <c r="U543" i="1" s="1"/>
  <c r="T539" i="1"/>
  <c r="U539" i="1" s="1"/>
  <c r="T495" i="1"/>
  <c r="U495" i="1" s="1"/>
  <c r="T536" i="1"/>
  <c r="U536" i="1" s="1"/>
  <c r="T506" i="1"/>
  <c r="U506" i="1" s="1"/>
  <c r="T542" i="1"/>
  <c r="U542" i="1" s="1"/>
  <c r="T500" i="1"/>
  <c r="U500" i="1" s="1"/>
  <c r="T515" i="1"/>
  <c r="U515" i="1" s="1"/>
  <c r="T490" i="1"/>
  <c r="U490" i="1" s="1"/>
  <c r="T517" i="1"/>
  <c r="U517" i="1" s="1"/>
  <c r="T504" i="1"/>
  <c r="U504" i="1" s="1"/>
  <c r="T499" i="1"/>
  <c r="U499" i="1" s="1"/>
  <c r="T525" i="1"/>
  <c r="U525" i="1" s="1"/>
  <c r="T519" i="1"/>
  <c r="U519" i="1" s="1"/>
  <c r="T521" i="1"/>
  <c r="U521" i="1" s="1"/>
  <c r="T548" i="1"/>
  <c r="U548" i="1" s="1"/>
  <c r="T512" i="1"/>
  <c r="U512" i="1" s="1"/>
  <c r="T474" i="1"/>
  <c r="T475" i="1"/>
  <c r="U475" i="1" s="1"/>
  <c r="T476" i="1"/>
  <c r="U476" i="1" s="1"/>
  <c r="T477" i="1"/>
  <c r="U477" i="1" s="1"/>
  <c r="T478" i="1"/>
  <c r="U478" i="1" s="1"/>
  <c r="T479" i="1"/>
  <c r="U479" i="1" s="1"/>
  <c r="T480" i="1"/>
  <c r="U480" i="1" s="1"/>
  <c r="T481" i="1"/>
  <c r="U481" i="1" s="1"/>
  <c r="U474" i="1"/>
  <c r="T355" i="1"/>
  <c r="U355" i="1" s="1"/>
  <c r="T356" i="1"/>
  <c r="U356" i="1" s="1"/>
  <c r="T357" i="1"/>
  <c r="U357" i="1" s="1"/>
  <c r="T358" i="1"/>
  <c r="U358" i="1" s="1"/>
  <c r="T359" i="1"/>
  <c r="U359" i="1" s="1"/>
  <c r="T360" i="1"/>
  <c r="U360" i="1" s="1"/>
  <c r="T361" i="1"/>
  <c r="U361" i="1" s="1"/>
  <c r="T362" i="1"/>
  <c r="U362" i="1" s="1"/>
  <c r="T363" i="1"/>
  <c r="U363" i="1" s="1"/>
  <c r="T364" i="1"/>
  <c r="U364" i="1" s="1"/>
  <c r="T365" i="1"/>
  <c r="U365" i="1" s="1"/>
  <c r="T366" i="1"/>
  <c r="U366" i="1" s="1"/>
  <c r="T367" i="1"/>
  <c r="U367" i="1" s="1"/>
  <c r="T368" i="1"/>
  <c r="U368" i="1" s="1"/>
  <c r="T369" i="1"/>
  <c r="U369" i="1" s="1"/>
  <c r="T370" i="1"/>
  <c r="U370" i="1" s="1"/>
  <c r="T371" i="1"/>
  <c r="U371" i="1" s="1"/>
  <c r="T372" i="1"/>
  <c r="U372" i="1" s="1"/>
  <c r="T373" i="1"/>
  <c r="U373" i="1" s="1"/>
  <c r="T374" i="1"/>
  <c r="U374" i="1" s="1"/>
  <c r="T375" i="1"/>
  <c r="U375" i="1" s="1"/>
  <c r="T376" i="1"/>
  <c r="U376" i="1" s="1"/>
  <c r="T377" i="1"/>
  <c r="U377" i="1" s="1"/>
  <c r="T378" i="1"/>
  <c r="U378" i="1" s="1"/>
  <c r="T379" i="1"/>
  <c r="U379" i="1" s="1"/>
  <c r="T380" i="1"/>
  <c r="U380" i="1" s="1"/>
  <c r="T381" i="1"/>
  <c r="U381" i="1" s="1"/>
  <c r="T382" i="1"/>
  <c r="U382" i="1" s="1"/>
  <c r="T383" i="1"/>
  <c r="U383" i="1" s="1"/>
  <c r="T384" i="1"/>
  <c r="U384" i="1" s="1"/>
  <c r="T385" i="1"/>
  <c r="U385" i="1" s="1"/>
  <c r="T386" i="1"/>
  <c r="U386" i="1" s="1"/>
  <c r="T387" i="1"/>
  <c r="U387" i="1" s="1"/>
  <c r="T388" i="1"/>
  <c r="U388" i="1" s="1"/>
  <c r="T389" i="1"/>
  <c r="U389" i="1" s="1"/>
  <c r="T390" i="1"/>
  <c r="U390" i="1" s="1"/>
  <c r="T391" i="1"/>
  <c r="U391" i="1" s="1"/>
  <c r="T392" i="1"/>
  <c r="U392" i="1" s="1"/>
  <c r="T393" i="1"/>
  <c r="U393" i="1" s="1"/>
  <c r="T394" i="1"/>
  <c r="U394" i="1" s="1"/>
  <c r="T395" i="1"/>
  <c r="U395" i="1" s="1"/>
  <c r="T396" i="1"/>
  <c r="U396" i="1" s="1"/>
  <c r="T397" i="1"/>
  <c r="U397" i="1" s="1"/>
  <c r="T398" i="1"/>
  <c r="U398" i="1" s="1"/>
  <c r="T399" i="1"/>
  <c r="U399" i="1" s="1"/>
  <c r="T400" i="1"/>
  <c r="U400" i="1" s="1"/>
  <c r="T401" i="1"/>
  <c r="U401" i="1" s="1"/>
  <c r="T402" i="1"/>
  <c r="U402" i="1" s="1"/>
  <c r="T403" i="1"/>
  <c r="U403" i="1" s="1"/>
  <c r="T404" i="1"/>
  <c r="U404" i="1" s="1"/>
  <c r="T405" i="1"/>
  <c r="U405" i="1" s="1"/>
  <c r="T406" i="1"/>
  <c r="U406" i="1" s="1"/>
  <c r="T407" i="1"/>
  <c r="U407" i="1" s="1"/>
  <c r="T408" i="1"/>
  <c r="U408" i="1" s="1"/>
  <c r="T409" i="1"/>
  <c r="U409" i="1" s="1"/>
  <c r="T410" i="1"/>
  <c r="U410" i="1" s="1"/>
  <c r="T411" i="1"/>
  <c r="U411" i="1" s="1"/>
  <c r="T412" i="1"/>
  <c r="U412" i="1" s="1"/>
  <c r="T413" i="1"/>
  <c r="U413" i="1" s="1"/>
  <c r="T414" i="1"/>
  <c r="U414" i="1" s="1"/>
  <c r="T415" i="1"/>
  <c r="U415" i="1" s="1"/>
  <c r="T416" i="1"/>
  <c r="U416" i="1" s="1"/>
  <c r="T417" i="1"/>
  <c r="U417" i="1" s="1"/>
  <c r="T418" i="1"/>
  <c r="U418" i="1" s="1"/>
  <c r="T419" i="1"/>
  <c r="U419" i="1" s="1"/>
  <c r="T420" i="1"/>
  <c r="U420" i="1" s="1"/>
  <c r="T421" i="1"/>
  <c r="U421" i="1" s="1"/>
  <c r="T422" i="1"/>
  <c r="U422" i="1" s="1"/>
  <c r="T423" i="1"/>
  <c r="U423" i="1" s="1"/>
  <c r="T424" i="1"/>
  <c r="U424" i="1" s="1"/>
  <c r="T425" i="1"/>
  <c r="U425" i="1" s="1"/>
  <c r="T426" i="1"/>
  <c r="U426" i="1" s="1"/>
  <c r="T427" i="1"/>
  <c r="U427" i="1" s="1"/>
  <c r="T428" i="1"/>
  <c r="U428" i="1" s="1"/>
  <c r="T429" i="1"/>
  <c r="U429" i="1" s="1"/>
  <c r="T430" i="1"/>
  <c r="U430" i="1" s="1"/>
  <c r="T431" i="1"/>
  <c r="U431" i="1" s="1"/>
  <c r="T432" i="1"/>
  <c r="U432" i="1" s="1"/>
  <c r="T433" i="1"/>
  <c r="U433" i="1" s="1"/>
  <c r="T434" i="1"/>
  <c r="U434" i="1" s="1"/>
  <c r="T435" i="1"/>
  <c r="U435" i="1" s="1"/>
  <c r="T436" i="1"/>
  <c r="U436" i="1" s="1"/>
  <c r="T437" i="1"/>
  <c r="U437" i="1" s="1"/>
  <c r="T438" i="1"/>
  <c r="U438" i="1" s="1"/>
  <c r="T439" i="1"/>
  <c r="U439" i="1" s="1"/>
  <c r="T440" i="1"/>
  <c r="U440" i="1" s="1"/>
  <c r="T441" i="1"/>
  <c r="U441" i="1" s="1"/>
  <c r="T442" i="1"/>
  <c r="U442" i="1" s="1"/>
  <c r="T443" i="1"/>
  <c r="U443" i="1" s="1"/>
  <c r="T444" i="1"/>
  <c r="U444" i="1" s="1"/>
  <c r="T445" i="1"/>
  <c r="U445" i="1" s="1"/>
  <c r="T446" i="1"/>
  <c r="U446" i="1" s="1"/>
  <c r="T447" i="1"/>
  <c r="U447" i="1" s="1"/>
  <c r="T448" i="1"/>
  <c r="U448" i="1" s="1"/>
  <c r="T449" i="1"/>
  <c r="U449" i="1" s="1"/>
  <c r="T450" i="1"/>
  <c r="U450" i="1" s="1"/>
  <c r="T451" i="1"/>
  <c r="U451" i="1" s="1"/>
  <c r="T452" i="1"/>
  <c r="U452" i="1" s="1"/>
  <c r="T453" i="1"/>
  <c r="U453" i="1" s="1"/>
  <c r="T454" i="1"/>
  <c r="U454" i="1" s="1"/>
  <c r="T455" i="1"/>
  <c r="U455" i="1" s="1"/>
  <c r="T456" i="1"/>
  <c r="U456" i="1" s="1"/>
  <c r="T457" i="1"/>
  <c r="U457" i="1" s="1"/>
  <c r="T458" i="1"/>
  <c r="U458" i="1" s="1"/>
  <c r="T459" i="1"/>
  <c r="U459" i="1" s="1"/>
  <c r="T460" i="1"/>
  <c r="U460" i="1" s="1"/>
  <c r="T461" i="1"/>
  <c r="U461" i="1" s="1"/>
  <c r="T462" i="1"/>
  <c r="U462" i="1" s="1"/>
  <c r="T463" i="1"/>
  <c r="U463" i="1" s="1"/>
  <c r="T464" i="1"/>
  <c r="U464" i="1" s="1"/>
  <c r="T465" i="1"/>
  <c r="U465" i="1" s="1"/>
  <c r="T466" i="1"/>
  <c r="U466" i="1" s="1"/>
  <c r="T467" i="1"/>
  <c r="U467" i="1" s="1"/>
  <c r="T468" i="1"/>
  <c r="U468" i="1" s="1"/>
  <c r="T469" i="1"/>
  <c r="U469" i="1" s="1"/>
  <c r="T470" i="1"/>
  <c r="U470" i="1" s="1"/>
  <c r="T471" i="1"/>
  <c r="U471" i="1" s="1"/>
  <c r="T472" i="1"/>
  <c r="U472" i="1" s="1"/>
  <c r="T473" i="1"/>
  <c r="U473" i="1" s="1"/>
  <c r="T354" i="1"/>
  <c r="U354" i="1" s="1"/>
  <c r="T262" i="1"/>
  <c r="U262" i="1" s="1"/>
  <c r="T263" i="1"/>
  <c r="U263" i="1" s="1"/>
  <c r="T264" i="1"/>
  <c r="U264" i="1" s="1"/>
  <c r="T265" i="1"/>
  <c r="U265" i="1" s="1"/>
  <c r="T266" i="1"/>
  <c r="U266" i="1" s="1"/>
  <c r="T267" i="1"/>
  <c r="U267" i="1" s="1"/>
  <c r="T268" i="1"/>
  <c r="U268" i="1" s="1"/>
  <c r="T269" i="1"/>
  <c r="U269" i="1" s="1"/>
  <c r="T270" i="1"/>
  <c r="U270" i="1" s="1"/>
  <c r="T271" i="1"/>
  <c r="U271" i="1" s="1"/>
  <c r="T272" i="1"/>
  <c r="U272" i="1" s="1"/>
  <c r="T273" i="1"/>
  <c r="U273" i="1" s="1"/>
  <c r="T274" i="1"/>
  <c r="U274" i="1" s="1"/>
  <c r="T275" i="1"/>
  <c r="U275" i="1" s="1"/>
  <c r="T276" i="1"/>
  <c r="U276" i="1" s="1"/>
  <c r="T277" i="1"/>
  <c r="U277" i="1" s="1"/>
  <c r="T278" i="1"/>
  <c r="U278" i="1" s="1"/>
  <c r="T279" i="1"/>
  <c r="U279" i="1" s="1"/>
  <c r="T280" i="1"/>
  <c r="U280" i="1" s="1"/>
  <c r="T281" i="1"/>
  <c r="U281" i="1" s="1"/>
  <c r="T282" i="1"/>
  <c r="U282" i="1" s="1"/>
  <c r="T283" i="1"/>
  <c r="U283" i="1" s="1"/>
  <c r="T284" i="1"/>
  <c r="U284" i="1" s="1"/>
  <c r="T285" i="1"/>
  <c r="U285" i="1" s="1"/>
  <c r="T286" i="1"/>
  <c r="U286" i="1" s="1"/>
  <c r="T287" i="1"/>
  <c r="U287" i="1" s="1"/>
  <c r="T288" i="1"/>
  <c r="U288" i="1" s="1"/>
  <c r="T289" i="1"/>
  <c r="U289" i="1" s="1"/>
  <c r="T290" i="1"/>
  <c r="U290" i="1" s="1"/>
  <c r="T291" i="1"/>
  <c r="U291" i="1" s="1"/>
  <c r="T292" i="1"/>
  <c r="U292" i="1" s="1"/>
  <c r="T293" i="1"/>
  <c r="U293" i="1" s="1"/>
  <c r="T294" i="1"/>
  <c r="U294" i="1" s="1"/>
  <c r="T295" i="1"/>
  <c r="U295" i="1" s="1"/>
  <c r="T296" i="1"/>
  <c r="U296" i="1" s="1"/>
  <c r="T297" i="1"/>
  <c r="U297" i="1" s="1"/>
  <c r="T298" i="1"/>
  <c r="U298" i="1" s="1"/>
  <c r="T299" i="1"/>
  <c r="U299" i="1" s="1"/>
  <c r="T300" i="1"/>
  <c r="U300" i="1" s="1"/>
  <c r="T301" i="1"/>
  <c r="U301" i="1" s="1"/>
  <c r="T302" i="1"/>
  <c r="U302" i="1" s="1"/>
  <c r="T303" i="1"/>
  <c r="U303" i="1" s="1"/>
  <c r="T304" i="1"/>
  <c r="U304" i="1" s="1"/>
  <c r="T305" i="1"/>
  <c r="U305" i="1" s="1"/>
  <c r="T306" i="1"/>
  <c r="U306" i="1" s="1"/>
  <c r="T307" i="1"/>
  <c r="U307" i="1" s="1"/>
  <c r="T308" i="1"/>
  <c r="U308" i="1" s="1"/>
  <c r="T309" i="1"/>
  <c r="U309" i="1" s="1"/>
  <c r="T310" i="1"/>
  <c r="U310" i="1" s="1"/>
  <c r="T311" i="1"/>
  <c r="U311" i="1" s="1"/>
  <c r="T312" i="1"/>
  <c r="U312" i="1" s="1"/>
  <c r="T313" i="1"/>
  <c r="U313" i="1" s="1"/>
  <c r="T314" i="1"/>
  <c r="U314" i="1" s="1"/>
  <c r="T315" i="1"/>
  <c r="U315" i="1" s="1"/>
  <c r="T316" i="1"/>
  <c r="U316" i="1" s="1"/>
  <c r="T317" i="1"/>
  <c r="U317" i="1" s="1"/>
  <c r="T318" i="1"/>
  <c r="U318" i="1" s="1"/>
  <c r="T319" i="1"/>
  <c r="U319" i="1" s="1"/>
  <c r="T320" i="1"/>
  <c r="U320" i="1" s="1"/>
  <c r="T321" i="1"/>
  <c r="U321" i="1" s="1"/>
  <c r="T322" i="1"/>
  <c r="T323" i="1"/>
  <c r="U323" i="1" s="1"/>
  <c r="T324" i="1"/>
  <c r="U324" i="1" s="1"/>
  <c r="T325" i="1"/>
  <c r="U325" i="1" s="1"/>
  <c r="T326" i="1"/>
  <c r="U326" i="1" s="1"/>
  <c r="T327" i="1"/>
  <c r="U327" i="1" s="1"/>
  <c r="T328" i="1"/>
  <c r="U328" i="1" s="1"/>
  <c r="T329" i="1"/>
  <c r="U329" i="1" s="1"/>
  <c r="T330" i="1"/>
  <c r="U330" i="1" s="1"/>
  <c r="T331" i="1"/>
  <c r="U331" i="1" s="1"/>
  <c r="T332" i="1"/>
  <c r="U332" i="1" s="1"/>
  <c r="T333" i="1"/>
  <c r="U333" i="1" s="1"/>
  <c r="T334" i="1"/>
  <c r="U334" i="1" s="1"/>
  <c r="T335" i="1"/>
  <c r="U335" i="1" s="1"/>
  <c r="T336" i="1"/>
  <c r="U336" i="1" s="1"/>
  <c r="T337" i="1"/>
  <c r="U337" i="1" s="1"/>
  <c r="T338" i="1"/>
  <c r="U338" i="1" s="1"/>
  <c r="T339" i="1"/>
  <c r="U339" i="1" s="1"/>
  <c r="T340" i="1"/>
  <c r="U340" i="1" s="1"/>
  <c r="T341" i="1"/>
  <c r="U341" i="1" s="1"/>
  <c r="T342" i="1"/>
  <c r="U342" i="1" s="1"/>
  <c r="T343" i="1"/>
  <c r="U343" i="1" s="1"/>
  <c r="T344" i="1"/>
  <c r="U344" i="1" s="1"/>
  <c r="T345" i="1"/>
  <c r="U345" i="1" s="1"/>
  <c r="T346" i="1"/>
  <c r="U346" i="1" s="1"/>
  <c r="T347" i="1"/>
  <c r="U347" i="1" s="1"/>
  <c r="T348" i="1"/>
  <c r="U348" i="1" s="1"/>
  <c r="T349" i="1"/>
  <c r="U349" i="1" s="1"/>
  <c r="T350" i="1"/>
  <c r="U350" i="1" s="1"/>
  <c r="T351" i="1"/>
  <c r="U351" i="1" s="1"/>
  <c r="T352" i="1"/>
  <c r="U352" i="1" s="1"/>
  <c r="T353" i="1"/>
  <c r="U353" i="1" s="1"/>
  <c r="U322" i="1"/>
  <c r="T261" i="1"/>
  <c r="U261" i="1" s="1"/>
  <c r="R223" i="1"/>
  <c r="R179" i="1"/>
  <c r="T179" i="1" s="1"/>
  <c r="U179" i="1" s="1"/>
  <c r="R214" i="1"/>
  <c r="T214" i="1" s="1"/>
  <c r="U214" i="1" s="1"/>
  <c r="R192" i="1"/>
  <c r="T192" i="1" s="1"/>
  <c r="U192" i="1" s="1"/>
  <c r="R199" i="1"/>
  <c r="T199" i="1" s="1"/>
  <c r="U199" i="1" s="1"/>
  <c r="R207" i="1"/>
  <c r="T207" i="1" s="1"/>
  <c r="U207" i="1" s="1"/>
  <c r="R194" i="1"/>
  <c r="T194" i="1" s="1"/>
  <c r="U194" i="1" s="1"/>
  <c r="R187" i="1"/>
  <c r="T187" i="1" s="1"/>
  <c r="U187" i="1" s="1"/>
  <c r="R174" i="1"/>
  <c r="T174" i="1" s="1"/>
  <c r="U174" i="1" s="1"/>
  <c r="R159" i="1"/>
  <c r="R158" i="1"/>
  <c r="R156" i="1"/>
  <c r="T154" i="1"/>
  <c r="U154" i="1" s="1"/>
  <c r="R153" i="1"/>
  <c r="T153" i="1" s="1"/>
  <c r="U153" i="1" s="1"/>
  <c r="T152" i="1"/>
  <c r="U152" i="1" s="1"/>
  <c r="T151" i="1"/>
  <c r="U151" i="1" s="1"/>
  <c r="T150" i="1"/>
  <c r="U150" i="1" s="1"/>
  <c r="T147" i="1"/>
  <c r="U147" i="1" s="1"/>
  <c r="T144" i="1"/>
  <c r="U144" i="1" s="1"/>
  <c r="T143" i="1"/>
  <c r="U143" i="1" s="1"/>
  <c r="T251" i="1"/>
  <c r="U251" i="1" s="1"/>
  <c r="T193" i="1"/>
  <c r="U193" i="1" s="1"/>
  <c r="T233" i="1"/>
  <c r="U233" i="1" s="1"/>
  <c r="T197" i="1"/>
  <c r="U197" i="1" s="1"/>
  <c r="T186" i="1"/>
  <c r="U186" i="1" s="1"/>
  <c r="T171" i="1"/>
  <c r="U171" i="1" s="1"/>
  <c r="T209" i="1"/>
  <c r="U209" i="1" s="1"/>
  <c r="T249" i="1"/>
  <c r="U249" i="1" s="1"/>
  <c r="T173" i="1"/>
  <c r="U173" i="1" s="1"/>
  <c r="T258" i="1"/>
  <c r="U258" i="1" s="1"/>
  <c r="T180" i="1"/>
  <c r="U180" i="1" s="1"/>
  <c r="T172" i="1"/>
  <c r="U172" i="1" s="1"/>
  <c r="T148" i="1"/>
  <c r="U148" i="1" s="1"/>
  <c r="T219" i="1"/>
  <c r="U219" i="1" s="1"/>
  <c r="T217" i="1"/>
  <c r="U217" i="1" s="1"/>
  <c r="T145" i="1"/>
  <c r="U145" i="1" s="1"/>
  <c r="T200" i="1"/>
  <c r="U200" i="1" s="1"/>
  <c r="T212" i="1"/>
  <c r="U212" i="1" s="1"/>
  <c r="T142" i="1"/>
  <c r="U142" i="1" s="1"/>
  <c r="T191" i="1"/>
  <c r="U191" i="1" s="1"/>
  <c r="T141" i="1"/>
  <c r="U141" i="1" s="1"/>
  <c r="T149" i="1"/>
  <c r="U149" i="1" s="1"/>
  <c r="T158" i="1"/>
  <c r="U158" i="1" s="1"/>
  <c r="T221" i="1"/>
  <c r="U221" i="1" s="1"/>
  <c r="T204" i="1"/>
  <c r="U204" i="1" s="1"/>
  <c r="T165" i="1"/>
  <c r="U165" i="1" s="1"/>
  <c r="T236" i="1"/>
  <c r="U236" i="1" s="1"/>
  <c r="T185" i="1"/>
  <c r="U185" i="1" s="1"/>
  <c r="T178" i="1"/>
  <c r="U178" i="1" s="1"/>
  <c r="T161" i="1"/>
  <c r="U161" i="1" s="1"/>
  <c r="T196" i="1"/>
  <c r="U196" i="1" s="1"/>
  <c r="T164" i="1"/>
  <c r="U164" i="1" s="1"/>
  <c r="T213" i="1"/>
  <c r="U213" i="1" s="1"/>
  <c r="T146" i="1"/>
  <c r="U146" i="1" s="1"/>
  <c r="T216" i="1"/>
  <c r="U216" i="1" s="1"/>
  <c r="T250" i="1"/>
  <c r="U250" i="1" s="1"/>
  <c r="T198" i="1"/>
  <c r="U198" i="1" s="1"/>
  <c r="T163" i="1"/>
  <c r="U163" i="1" s="1"/>
  <c r="T176" i="1"/>
  <c r="U176" i="1" s="1"/>
  <c r="T168" i="1"/>
  <c r="U168" i="1" s="1"/>
  <c r="T184" i="1"/>
  <c r="U184" i="1" s="1"/>
  <c r="T183" i="1"/>
  <c r="U183" i="1" s="1"/>
  <c r="T208" i="1"/>
  <c r="U208" i="1" s="1"/>
  <c r="T210" i="1"/>
  <c r="U210" i="1" s="1"/>
  <c r="T162" i="1"/>
  <c r="U162" i="1" s="1"/>
  <c r="T235" i="1"/>
  <c r="U235" i="1" s="1"/>
  <c r="T201" i="1"/>
  <c r="U201" i="1" s="1"/>
  <c r="T246" i="1"/>
  <c r="U246" i="1" s="1"/>
  <c r="T240" i="1"/>
  <c r="U240" i="1" s="1"/>
  <c r="T169" i="1"/>
  <c r="U169" i="1" s="1"/>
  <c r="T202" i="1"/>
  <c r="U202" i="1" s="1"/>
  <c r="T220" i="1"/>
  <c r="U220" i="1" s="1"/>
  <c r="T259" i="1"/>
  <c r="U259" i="1" s="1"/>
  <c r="T238" i="1"/>
  <c r="U238" i="1" s="1"/>
  <c r="T166" i="1"/>
  <c r="U166" i="1" s="1"/>
  <c r="T159" i="1"/>
  <c r="U159" i="1" s="1"/>
  <c r="T189" i="1"/>
  <c r="U189" i="1" s="1"/>
  <c r="T205" i="1"/>
  <c r="U205" i="1" s="1"/>
  <c r="T156" i="1"/>
  <c r="U156" i="1" s="1"/>
  <c r="T218" i="1"/>
  <c r="U218" i="1" s="1"/>
  <c r="T155" i="1"/>
  <c r="U155" i="1" s="1"/>
  <c r="T224" i="1"/>
  <c r="U224" i="1" s="1"/>
  <c r="T239" i="1"/>
  <c r="U239" i="1" s="1"/>
  <c r="T222" i="1"/>
  <c r="U222" i="1" s="1"/>
  <c r="T223" i="1"/>
  <c r="U223" i="1" s="1"/>
  <c r="T170" i="1"/>
  <c r="U170" i="1" s="1"/>
  <c r="T195" i="1"/>
  <c r="U195" i="1" s="1"/>
  <c r="T181" i="1"/>
  <c r="U181" i="1" s="1"/>
  <c r="T252" i="1"/>
  <c r="U252" i="1" s="1"/>
  <c r="T234" i="1"/>
  <c r="U234" i="1" s="1"/>
  <c r="T257" i="1"/>
  <c r="U257" i="1" s="1"/>
  <c r="T230" i="1"/>
  <c r="U230" i="1" s="1"/>
  <c r="T256" i="1"/>
  <c r="U256" i="1" s="1"/>
  <c r="T182" i="1"/>
  <c r="U182" i="1" s="1"/>
  <c r="T243" i="1"/>
  <c r="U243" i="1" s="1"/>
  <c r="T255" i="1"/>
  <c r="U255" i="1" s="1"/>
  <c r="T247" i="1"/>
  <c r="U247" i="1" s="1"/>
  <c r="T260" i="1"/>
  <c r="U260" i="1" s="1"/>
  <c r="T215" i="1"/>
  <c r="U215" i="1" s="1"/>
  <c r="T157" i="1"/>
  <c r="U157" i="1" s="1"/>
  <c r="T231" i="1"/>
  <c r="U231" i="1" s="1"/>
  <c r="T232" i="1"/>
  <c r="U232" i="1" s="1"/>
  <c r="T188" i="1"/>
  <c r="U188" i="1" s="1"/>
  <c r="T226" i="1"/>
  <c r="U226" i="1" s="1"/>
  <c r="T190" i="1"/>
  <c r="U190" i="1" s="1"/>
  <c r="T177" i="1"/>
  <c r="U177" i="1" s="1"/>
  <c r="T175" i="1"/>
  <c r="U175" i="1" s="1"/>
  <c r="T245" i="1"/>
  <c r="U245" i="1" s="1"/>
  <c r="T237" i="1"/>
  <c r="U237" i="1" s="1"/>
  <c r="T203" i="1"/>
  <c r="U203" i="1" s="1"/>
  <c r="T254" i="1"/>
  <c r="U254" i="1" s="1"/>
  <c r="T248" i="1"/>
  <c r="U248" i="1" s="1"/>
  <c r="T160" i="1"/>
  <c r="U160" i="1" s="1"/>
  <c r="T229" i="1"/>
  <c r="U229" i="1" s="1"/>
  <c r="T225" i="1"/>
  <c r="U225" i="1" s="1"/>
  <c r="T167" i="1"/>
  <c r="U167" i="1" s="1"/>
  <c r="T228" i="1"/>
  <c r="U228" i="1" s="1"/>
  <c r="T206" i="1"/>
  <c r="U206" i="1" s="1"/>
  <c r="T241" i="1"/>
  <c r="U241" i="1" s="1"/>
  <c r="T244" i="1"/>
  <c r="U244" i="1" s="1"/>
  <c r="T211" i="1"/>
  <c r="U211" i="1" s="1"/>
  <c r="T227" i="1"/>
  <c r="U227" i="1" s="1"/>
  <c r="T253" i="1"/>
  <c r="U253" i="1" s="1"/>
  <c r="T242" i="1"/>
  <c r="U242" i="1" s="1"/>
  <c r="T60" i="1"/>
  <c r="T46" i="1"/>
  <c r="T23" i="1"/>
  <c r="T48" i="1"/>
  <c r="T51" i="1"/>
  <c r="T78" i="1"/>
  <c r="T19" i="1"/>
  <c r="T68" i="1"/>
  <c r="T109" i="1"/>
  <c r="T107" i="1"/>
  <c r="T45" i="1"/>
  <c r="T13" i="1"/>
  <c r="T66" i="1"/>
  <c r="T89" i="1"/>
  <c r="T110" i="1"/>
  <c r="T52" i="1"/>
  <c r="T113" i="1"/>
  <c r="T92" i="1"/>
  <c r="T43" i="1"/>
  <c r="T11" i="1"/>
  <c r="T115" i="1"/>
  <c r="T76" i="1"/>
  <c r="T114" i="1"/>
  <c r="T124" i="1"/>
  <c r="T119" i="1"/>
  <c r="T96" i="1"/>
  <c r="T55" i="1"/>
  <c r="T73" i="1"/>
  <c r="T20" i="1"/>
  <c r="T91" i="1"/>
  <c r="R58" i="1"/>
  <c r="T58" i="1" s="1"/>
  <c r="R79" i="1"/>
  <c r="T79" i="1" s="1"/>
  <c r="R53" i="1"/>
  <c r="T18" i="1"/>
  <c r="T3" i="1"/>
  <c r="R49" i="1"/>
  <c r="T49" i="1" s="1"/>
  <c r="T21" i="1"/>
  <c r="R71" i="1"/>
  <c r="T71" i="1" s="1"/>
  <c r="T7" i="1"/>
  <c r="R85" i="1"/>
  <c r="T85" i="1" s="1"/>
  <c r="R62" i="1"/>
  <c r="T62" i="1" s="1"/>
  <c r="R25" i="1"/>
  <c r="T25" i="1" s="1"/>
  <c r="R38" i="1"/>
  <c r="T38" i="1" s="1"/>
  <c r="R103" i="1"/>
  <c r="T103" i="1" s="1"/>
  <c r="R30" i="1"/>
  <c r="T30" i="1" s="1"/>
  <c r="T4" i="1"/>
  <c r="R63" i="1"/>
  <c r="T63" i="1" s="1"/>
  <c r="R44" i="1"/>
  <c r="T44" i="1" s="1"/>
  <c r="R74" i="1"/>
  <c r="T74" i="1" s="1"/>
  <c r="R88" i="1"/>
  <c r="T10" i="1"/>
  <c r="R35" i="1"/>
  <c r="T35" i="1" s="1"/>
  <c r="R87" i="1"/>
  <c r="T87" i="1" s="1"/>
  <c r="R26" i="1"/>
  <c r="T26" i="1" s="1"/>
  <c r="R36" i="1"/>
  <c r="T36" i="1" s="1"/>
  <c r="R120" i="1"/>
  <c r="T120" i="1" s="1"/>
  <c r="T12" i="1"/>
  <c r="R111" i="1"/>
  <c r="R82" i="1"/>
  <c r="T82" i="1" s="1"/>
  <c r="R57" i="1"/>
  <c r="T57" i="1" s="1"/>
  <c r="R122" i="1"/>
  <c r="T122" i="1" s="1"/>
  <c r="R59" i="1"/>
  <c r="R135" i="1"/>
  <c r="T135" i="1" s="1"/>
  <c r="R128" i="1"/>
  <c r="T128" i="1" s="1"/>
  <c r="R90" i="1"/>
  <c r="T90" i="1" s="1"/>
  <c r="R131" i="1"/>
  <c r="R125" i="1"/>
  <c r="T125" i="1" s="1"/>
  <c r="R136" i="1"/>
  <c r="T136" i="1" s="1"/>
  <c r="R42" i="1"/>
  <c r="T42" i="1" s="1"/>
  <c r="R138" i="1"/>
  <c r="T138" i="1" s="1"/>
  <c r="R70" i="1"/>
  <c r="T70" i="1" s="1"/>
  <c r="R112" i="1"/>
  <c r="T112" i="1" s="1"/>
  <c r="R106" i="1"/>
  <c r="T106" i="1" s="1"/>
  <c r="R101" i="1"/>
  <c r="T101" i="1" s="1"/>
  <c r="R104" i="1"/>
  <c r="T104" i="1" s="1"/>
  <c r="R95" i="1"/>
  <c r="T95" i="1" s="1"/>
  <c r="R99" i="1"/>
  <c r="T99" i="1" s="1"/>
  <c r="R86" i="1"/>
  <c r="T86" i="1" s="1"/>
  <c r="R64" i="1"/>
  <c r="T64" i="1" s="1"/>
  <c r="R134" i="1"/>
  <c r="T134" i="1" s="1"/>
  <c r="R84" i="1"/>
  <c r="T84" i="1" s="1"/>
  <c r="R126" i="1"/>
  <c r="T126" i="1" s="1"/>
  <c r="R94" i="1"/>
  <c r="T94" i="1" s="1"/>
  <c r="R56" i="1"/>
  <c r="R93" i="1"/>
  <c r="R127" i="1"/>
  <c r="R140" i="1"/>
  <c r="R100" i="1"/>
  <c r="R123" i="1"/>
  <c r="T123" i="1" s="1"/>
  <c r="R117" i="1"/>
  <c r="T117" i="1" s="1"/>
  <c r="R130" i="1"/>
  <c r="T130" i="1" s="1"/>
  <c r="R137" i="1"/>
  <c r="T137" i="1" s="1"/>
  <c r="R132" i="1"/>
  <c r="T132" i="1" s="1"/>
  <c r="R139" i="1"/>
  <c r="T139" i="1" s="1"/>
  <c r="R61" i="1"/>
  <c r="T61" i="1" s="1"/>
  <c r="R27" i="1"/>
  <c r="T27" i="1" s="1"/>
  <c r="R129" i="1"/>
  <c r="T129" i="1" s="1"/>
  <c r="R40" i="1"/>
  <c r="T40" i="1" s="1"/>
  <c r="R81" i="1"/>
  <c r="T105" i="1"/>
  <c r="T133" i="1"/>
  <c r="T116" i="1"/>
  <c r="T72" i="1"/>
  <c r="T108" i="1"/>
  <c r="T24" i="1"/>
  <c r="T17" i="1"/>
  <c r="T102" i="1"/>
  <c r="T67" i="1"/>
  <c r="T2" i="1"/>
  <c r="T15" i="1"/>
  <c r="T118" i="1"/>
  <c r="T34" i="1"/>
  <c r="T29" i="1"/>
  <c r="T98" i="1"/>
  <c r="T8" i="1"/>
  <c r="T81" i="1" l="1"/>
  <c r="T54" i="1"/>
  <c r="T41" i="1"/>
  <c r="T80" i="1"/>
  <c r="T50" i="1"/>
  <c r="T65" i="1"/>
  <c r="T28" i="1"/>
  <c r="T97" i="1"/>
  <c r="T75" i="1"/>
  <c r="T33" i="1"/>
  <c r="T5" i="1"/>
  <c r="T22" i="1"/>
  <c r="T77" i="1"/>
  <c r="T37" i="1"/>
  <c r="T47" i="1"/>
  <c r="T31" i="1"/>
  <c r="T111" i="1"/>
  <c r="T32" i="1"/>
  <c r="T121" i="1"/>
  <c r="T9" i="1"/>
  <c r="T88" i="1"/>
  <c r="T39" i="1"/>
  <c r="T69" i="1"/>
  <c r="T131" i="1"/>
  <c r="T16" i="1"/>
  <c r="T59" i="1"/>
  <c r="T83" i="1"/>
  <c r="T53" i="1"/>
  <c r="T6" i="1"/>
  <c r="T14" i="1"/>
  <c r="T93" i="1"/>
  <c r="T140" i="1"/>
  <c r="T127" i="1"/>
  <c r="T56" i="1"/>
  <c r="T100" i="1"/>
</calcChain>
</file>

<file path=xl/sharedStrings.xml><?xml version="1.0" encoding="utf-8"?>
<sst xmlns="http://schemas.openxmlformats.org/spreadsheetml/2006/main" count="4345" uniqueCount="704">
  <si>
    <t>PlotID</t>
  </si>
  <si>
    <t>Join_Count</t>
  </si>
  <si>
    <t>ENTRY</t>
  </si>
  <si>
    <t>REP</t>
  </si>
  <si>
    <t>IBLK</t>
  </si>
  <si>
    <t>Rng</t>
  </si>
  <si>
    <t>Pas</t>
  </si>
  <si>
    <t>Name</t>
  </si>
  <si>
    <t>Pedigree</t>
  </si>
  <si>
    <t>Experiment Name</t>
  </si>
  <si>
    <t>Origin</t>
  </si>
  <si>
    <t>Year</t>
  </si>
  <si>
    <t>Location</t>
  </si>
  <si>
    <t>PLOTWT</t>
  </si>
  <si>
    <t>MOIST</t>
  </si>
  <si>
    <t>CWT_A</t>
  </si>
  <si>
    <t>HA</t>
  </si>
  <si>
    <t>HAsqf</t>
  </si>
  <si>
    <t>CorrectedYield</t>
  </si>
  <si>
    <t>1001</t>
  </si>
  <si>
    <t>B24218</t>
  </si>
  <si>
    <t>B19504/I95408</t>
  </si>
  <si>
    <t>2502</t>
  </si>
  <si>
    <t>21B382-193-01-03</t>
  </si>
  <si>
    <t>SVREC</t>
  </si>
  <si>
    <t>1002</t>
  </si>
  <si>
    <t>B22062</t>
  </si>
  <si>
    <t>B18231/B18233</t>
  </si>
  <si>
    <t>19B252-02-02-03</t>
  </si>
  <si>
    <t>1003</t>
  </si>
  <si>
    <t>B24213</t>
  </si>
  <si>
    <t>N20395/B19344</t>
  </si>
  <si>
    <t>22N197-01-02</t>
  </si>
  <si>
    <t>1004</t>
  </si>
  <si>
    <t>B23927</t>
  </si>
  <si>
    <t>B19330/B19309</t>
  </si>
  <si>
    <t>21B333-06-02</t>
  </si>
  <si>
    <t>1005</t>
  </si>
  <si>
    <t>B22041</t>
  </si>
  <si>
    <t>B17536/B18504</t>
  </si>
  <si>
    <t>19B223-01-01-01</t>
  </si>
  <si>
    <t>1006</t>
  </si>
  <si>
    <t>B24149</t>
  </si>
  <si>
    <t>B20597/B20599</t>
  </si>
  <si>
    <t>22B395-03-03</t>
  </si>
  <si>
    <t>1007</t>
  </si>
  <si>
    <t>B23922</t>
  </si>
  <si>
    <t>B19309/B18201</t>
  </si>
  <si>
    <t>21B323-07-04</t>
  </si>
  <si>
    <t>1009</t>
  </si>
  <si>
    <t>B24112</t>
  </si>
  <si>
    <t>B20527/B19344</t>
  </si>
  <si>
    <t>22B338-02-02</t>
  </si>
  <si>
    <t>1010</t>
  </si>
  <si>
    <t>B24180</t>
  </si>
  <si>
    <t>B21710/B20527</t>
  </si>
  <si>
    <t>22B431-01-02</t>
  </si>
  <si>
    <t>1011</t>
  </si>
  <si>
    <t>B24219</t>
  </si>
  <si>
    <t>21B382-193-01-04</t>
  </si>
  <si>
    <t>1012</t>
  </si>
  <si>
    <t>B23911</t>
  </si>
  <si>
    <t>B18201/B19345</t>
  </si>
  <si>
    <t>21B303-04-03</t>
  </si>
  <si>
    <t>1013</t>
  </si>
  <si>
    <t>B24101</t>
  </si>
  <si>
    <t>B19309/B19344</t>
  </si>
  <si>
    <t>22B301-03-01</t>
  </si>
  <si>
    <t>1014</t>
  </si>
  <si>
    <t>B23946</t>
  </si>
  <si>
    <t>B20617/B19309</t>
  </si>
  <si>
    <t>21B369-05-02</t>
  </si>
  <si>
    <t>1015</t>
  </si>
  <si>
    <t>B23949</t>
  </si>
  <si>
    <t>B20617/B19344</t>
  </si>
  <si>
    <t>21B370-01-01</t>
  </si>
  <si>
    <t>1017</t>
  </si>
  <si>
    <t>B22042</t>
  </si>
  <si>
    <t>19B223-01-01-02</t>
  </si>
  <si>
    <t>1018</t>
  </si>
  <si>
    <t>B23941</t>
  </si>
  <si>
    <t>B20549/B20591</t>
  </si>
  <si>
    <t>21B358-01-01</t>
  </si>
  <si>
    <t>1019</t>
  </si>
  <si>
    <t>B22033</t>
  </si>
  <si>
    <t>B15434/B18204</t>
  </si>
  <si>
    <t>19B207-01-02-03</t>
  </si>
  <si>
    <t>1020</t>
  </si>
  <si>
    <t>B24111</t>
  </si>
  <si>
    <t>B19344/B21717</t>
  </si>
  <si>
    <t>22B334-01-01</t>
  </si>
  <si>
    <t>1021</t>
  </si>
  <si>
    <t>I21901</t>
  </si>
  <si>
    <t>BL14500, NIMBUS</t>
  </si>
  <si>
    <t>PROVITA</t>
  </si>
  <si>
    <t>1022</t>
  </si>
  <si>
    <t>B10244</t>
  </si>
  <si>
    <t>B04644/ZORRO, ZENITH</t>
  </si>
  <si>
    <t>08B118 -02-02</t>
  </si>
  <si>
    <t>1023</t>
  </si>
  <si>
    <t>B24109</t>
  </si>
  <si>
    <t>B19344/B20599</t>
  </si>
  <si>
    <t>22B331-02-01</t>
  </si>
  <si>
    <t>1024</t>
  </si>
  <si>
    <t>B22031</t>
  </si>
  <si>
    <t>19B207-01-02-01</t>
  </si>
  <si>
    <t>1025</t>
  </si>
  <si>
    <t>B23909</t>
  </si>
  <si>
    <t>B18201/B19309</t>
  </si>
  <si>
    <t>21B302-02-01</t>
  </si>
  <si>
    <t>1026</t>
  </si>
  <si>
    <t>B23925</t>
  </si>
  <si>
    <t>B19309/B20591</t>
  </si>
  <si>
    <t>21B328-01-02</t>
  </si>
  <si>
    <t>1027</t>
  </si>
  <si>
    <t>B20536</t>
  </si>
  <si>
    <t>B15430/B16504, KONA</t>
  </si>
  <si>
    <t>18B217-10-02</t>
  </si>
  <si>
    <t>1028</t>
  </si>
  <si>
    <t>B24120</t>
  </si>
  <si>
    <t>B20536/B20616</t>
  </si>
  <si>
    <t>22B354-01-01</t>
  </si>
  <si>
    <t>1029</t>
  </si>
  <si>
    <t>B24212</t>
  </si>
  <si>
    <t>B20547/B20597</t>
  </si>
  <si>
    <t>22B371-04-03</t>
  </si>
  <si>
    <t>1030</t>
  </si>
  <si>
    <t>B22035</t>
  </si>
  <si>
    <t>B15434/B18504</t>
  </si>
  <si>
    <t>19B209-06-02-02</t>
  </si>
  <si>
    <t>1031</t>
  </si>
  <si>
    <t>I19702</t>
  </si>
  <si>
    <t>BL14497, BLACK SPECTRE</t>
  </si>
  <si>
    <t>Provita</t>
  </si>
  <si>
    <t>1032</t>
  </si>
  <si>
    <t>B24142</t>
  </si>
  <si>
    <t>B20597/B20536</t>
  </si>
  <si>
    <t>22B392-04-01</t>
  </si>
  <si>
    <t>1033</t>
  </si>
  <si>
    <t>B19344</t>
  </si>
  <si>
    <t>B16506/B16507, BLACK PEARL</t>
  </si>
  <si>
    <t>17B247-01-04</t>
  </si>
  <si>
    <t>1034</t>
  </si>
  <si>
    <t>B22854</t>
  </si>
  <si>
    <t>B19309/B18222</t>
  </si>
  <si>
    <t>20B278-05-05</t>
  </si>
  <si>
    <t>1035</t>
  </si>
  <si>
    <t>B24122</t>
  </si>
  <si>
    <t>B20536/B20617</t>
  </si>
  <si>
    <t>22B355-05-01</t>
  </si>
  <si>
    <t>1036</t>
  </si>
  <si>
    <t>B24102</t>
  </si>
  <si>
    <t>22B301-03-03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</si>
  <si>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</si>
  <si>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</si>
  <si>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</si>
  <si>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</si>
  <si>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</si>
  <si>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</si>
  <si>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</si>
  <si>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</si>
  <si>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</si>
  <si>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</si>
  <si>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</si>
  <si>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</si>
  <si>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</si>
  <si>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</si>
  <si>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</si>
  <si>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B24123</t>
  </si>
  <si>
    <t>22B355-05-02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</si>
  <si>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</si>
  <si>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</si>
  <si>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</si>
  <si>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</si>
  <si>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</si>
  <si>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</si>
  <si>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</si>
  <si>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</si>
  <si>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</si>
  <si>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</si>
  <si>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</si>
  <si>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</si>
  <si>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2029</t>
  </si>
  <si>
    <t>2030</t>
  </si>
  <si>
    <t>2031</t>
  </si>
  <si>
    <t>2032</t>
  </si>
  <si>
    <t>2033</t>
  </si>
  <si>
    <t>2034</t>
  </si>
  <si>
    <t>2035</t>
  </si>
  <si>
    <t>2036</t>
  </si>
  <si>
    <t>3001</t>
  </si>
  <si>
    <t>3002</t>
  </si>
  <si>
    <t>3003</t>
  </si>
  <si>
    <t>3004</t>
  </si>
  <si>
    <t>3005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</si>
  <si>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</si>
  <si>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</si>
  <si>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</si>
  <si>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</si>
  <si>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</si>
  <si>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</si>
  <si>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</si>
  <si>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</si>
  <si>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</si>
  <si>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</si>
  <si>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</si>
  <si>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</si>
  <si>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</si>
  <si>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</si>
  <si>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</si>
  <si>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</si>
  <si>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</si>
  <si>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</si>
  <si>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</si>
  <si>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</si>
  <si>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</si>
  <si>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</si>
  <si>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</si>
  <si>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</si>
  <si>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</si>
  <si>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</si>
  <si>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</si>
  <si>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</si>
  <si>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</si>
  <si>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</si>
  <si>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</si>
  <si>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</si>
  <si>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</si>
  <si>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</si>
  <si>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</si>
  <si>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</si>
  <si>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</si>
  <si>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</si>
  <si>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</si>
  <si>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</si>
  <si>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</si>
  <si>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</si>
  <si>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</si>
  <si>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</si>
  <si>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</si>
  <si>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</si>
  <si>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</si>
  <si>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</si>
  <si>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</si>
  <si>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</si>
  <si>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</si>
  <si>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</si>
  <si>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</si>
  <si>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</si>
  <si>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</si>
  <si>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</si>
  <si>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</si>
  <si>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</si>
  <si>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</si>
  <si>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</si>
  <si>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</si>
  <si>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</si>
  <si>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</si>
  <si>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</si>
  <si>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</si>
  <si>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N25901</t>
  </si>
  <si>
    <t>N18105/B20591</t>
  </si>
  <si>
    <t>2503</t>
  </si>
  <si>
    <t>23N117-03-01</t>
  </si>
  <si>
    <t>N25907</t>
  </si>
  <si>
    <t>N19246/N20401</t>
  </si>
  <si>
    <t>23N125-07-02</t>
  </si>
  <si>
    <t>N25931</t>
  </si>
  <si>
    <t>N22616/N19246</t>
  </si>
  <si>
    <t>23N210-02-02</t>
  </si>
  <si>
    <t>N25906</t>
  </si>
  <si>
    <t>N18105/B22033</t>
  </si>
  <si>
    <t>23N121-02-05</t>
  </si>
  <si>
    <t>N25934</t>
  </si>
  <si>
    <t>N22616/N19277</t>
  </si>
  <si>
    <t>23N211-01-01</t>
  </si>
  <si>
    <t>N22616</t>
  </si>
  <si>
    <t>N19216/N17505</t>
  </si>
  <si>
    <t>20N121-01-02</t>
  </si>
  <si>
    <t>N25921</t>
  </si>
  <si>
    <t>N22616/B21713</t>
  </si>
  <si>
    <t>23N228-02-03</t>
  </si>
  <si>
    <t>1008</t>
  </si>
  <si>
    <t>N25930</t>
  </si>
  <si>
    <t>23N210-01-01</t>
  </si>
  <si>
    <t>I21920</t>
  </si>
  <si>
    <t>HMS BOUNTY</t>
  </si>
  <si>
    <t>Provita, 12047</t>
  </si>
  <si>
    <t>N25917</t>
  </si>
  <si>
    <t>N21532/N22616</t>
  </si>
  <si>
    <t>23N205-08-05</t>
  </si>
  <si>
    <t>N25904</t>
  </si>
  <si>
    <t>23N121-02-01</t>
  </si>
  <si>
    <t>N25908</t>
  </si>
  <si>
    <t>N19277/N18105</t>
  </si>
  <si>
    <t>23N135-05-02</t>
  </si>
  <si>
    <t>N25902</t>
  </si>
  <si>
    <t>N18105/B20639</t>
  </si>
  <si>
    <t>23N119-06-01</t>
  </si>
  <si>
    <t>N25919</t>
  </si>
  <si>
    <t>N21532/N22622</t>
  </si>
  <si>
    <t>23N206-04-01</t>
  </si>
  <si>
    <t>N25923</t>
  </si>
  <si>
    <t>N22624/N18105</t>
  </si>
  <si>
    <t>23N245-01-05</t>
  </si>
  <si>
    <t>1016</t>
  </si>
  <si>
    <t>N25910</t>
  </si>
  <si>
    <t>N19277/N20317</t>
  </si>
  <si>
    <t>23N137-04-06</t>
  </si>
  <si>
    <t>N25915</t>
  </si>
  <si>
    <t>23N205-01-04</t>
  </si>
  <si>
    <t>N25909</t>
  </si>
  <si>
    <t>23N137-04-04</t>
  </si>
  <si>
    <t>N25911</t>
  </si>
  <si>
    <t>N20401/N19246</t>
  </si>
  <si>
    <t>23N166-06-02</t>
  </si>
  <si>
    <t>N18103</t>
  </si>
  <si>
    <t>N13120/PR00806-81, AuSable</t>
  </si>
  <si>
    <t>16N103-06-03</t>
  </si>
  <si>
    <t>N22622</t>
  </si>
  <si>
    <t>N19216/B18224</t>
  </si>
  <si>
    <t>20N124-03-03</t>
  </si>
  <si>
    <t>N25914</t>
  </si>
  <si>
    <t>23N205-01-03</t>
  </si>
  <si>
    <t>N25922</t>
  </si>
  <si>
    <t>23N228-07-01</t>
  </si>
  <si>
    <t>N25935</t>
  </si>
  <si>
    <t>23N211-01-03</t>
  </si>
  <si>
    <t>N25920</t>
  </si>
  <si>
    <t>23N228-02-01</t>
  </si>
  <si>
    <t>N25913</t>
  </si>
  <si>
    <t>N21526/X22102</t>
  </si>
  <si>
    <t>23N198-01-03</t>
  </si>
  <si>
    <t>N25912</t>
  </si>
  <si>
    <t>23N166-06-03</t>
  </si>
  <si>
    <t>N25933</t>
  </si>
  <si>
    <t>N22616/B22008</t>
  </si>
  <si>
    <t>23N229-04-01</t>
  </si>
  <si>
    <t>N25903</t>
  </si>
  <si>
    <t>23N121-01-01</t>
  </si>
  <si>
    <t>I22001</t>
  </si>
  <si>
    <t>LIBERTY</t>
  </si>
  <si>
    <t>Provita 15095</t>
  </si>
  <si>
    <t>N25918</t>
  </si>
  <si>
    <t>23N205-09-02</t>
  </si>
  <si>
    <t>N25905</t>
  </si>
  <si>
    <t>23N121-02-03</t>
  </si>
  <si>
    <t>N25932</t>
  </si>
  <si>
    <t>N22624/N22630</t>
  </si>
  <si>
    <t>23N254-06-02</t>
  </si>
  <si>
    <t>N25916</t>
  </si>
  <si>
    <t>23N205-08-02</t>
  </si>
  <si>
    <t>N25928</t>
  </si>
  <si>
    <t>N19246/N22616</t>
  </si>
  <si>
    <t>23N126-02-02</t>
  </si>
  <si>
    <t>N25929</t>
  </si>
  <si>
    <t>23N126-07-02</t>
  </si>
  <si>
    <t>1037</t>
  </si>
  <si>
    <t>N25925</t>
  </si>
  <si>
    <t>N22624/N19246</t>
  </si>
  <si>
    <t>23N246-05-01</t>
  </si>
  <si>
    <t>1038</t>
  </si>
  <si>
    <t>N25927</t>
  </si>
  <si>
    <t>N22630/N20401</t>
  </si>
  <si>
    <t>23N265-03-02</t>
  </si>
  <si>
    <t>1039</t>
  </si>
  <si>
    <t>N25926</t>
  </si>
  <si>
    <t>23N265-01-01</t>
  </si>
  <si>
    <t>1040</t>
  </si>
  <si>
    <t>N25924</t>
  </si>
  <si>
    <t>23N245-02-01</t>
  </si>
  <si>
    <t>2028</t>
  </si>
  <si>
    <t>2037</t>
  </si>
  <si>
    <t>2038</t>
  </si>
  <si>
    <t>2039</t>
  </si>
  <si>
    <t>2040</t>
  </si>
  <si>
    <t>3006</t>
  </si>
  <si>
    <t>3037</t>
  </si>
  <si>
    <t>3038</t>
  </si>
  <si>
    <t>3039</t>
  </si>
  <si>
    <t>3040</t>
  </si>
  <si>
    <t>B25320</t>
  </si>
  <si>
    <t>X22203/X22202</t>
  </si>
  <si>
    <t>2504</t>
  </si>
  <si>
    <t>23B669-03-02</t>
  </si>
  <si>
    <t>B25303</t>
  </si>
  <si>
    <t>B20536/B21710</t>
  </si>
  <si>
    <t>23B419-02-02</t>
  </si>
  <si>
    <t>B25307</t>
  </si>
  <si>
    <t>B22008/B20617</t>
  </si>
  <si>
    <t>23B532-03-03</t>
  </si>
  <si>
    <t>B25316</t>
  </si>
  <si>
    <t>B22832/B22026</t>
  </si>
  <si>
    <t>23B606-04-04</t>
  </si>
  <si>
    <t>B25315</t>
  </si>
  <si>
    <t>23B606-03-04</t>
  </si>
  <si>
    <t>B25314</t>
  </si>
  <si>
    <t>23B606-03-02</t>
  </si>
  <si>
    <t>I25210</t>
  </si>
  <si>
    <t>PVBLPI19-10</t>
  </si>
  <si>
    <t>McGill</t>
  </si>
  <si>
    <t>B25305</t>
  </si>
  <si>
    <t>B20617/B22854</t>
  </si>
  <si>
    <t>23B457-03-03</t>
  </si>
  <si>
    <t>B25325</t>
  </si>
  <si>
    <t>B22033/B21715</t>
  </si>
  <si>
    <t>23B557-03-03</t>
  </si>
  <si>
    <t>B25313</t>
  </si>
  <si>
    <t>23B606-03-01</t>
  </si>
  <si>
    <t>B25323</t>
  </si>
  <si>
    <t>23B557-01-01</t>
  </si>
  <si>
    <t>B25301</t>
  </si>
  <si>
    <t>23N119-05-02</t>
  </si>
  <si>
    <t>B25318</t>
  </si>
  <si>
    <t>X22202/B22832</t>
  </si>
  <si>
    <t>23B652-03-01</t>
  </si>
  <si>
    <t>B25309</t>
  </si>
  <si>
    <t>B22008/X22202</t>
  </si>
  <si>
    <t>23B541-02-01</t>
  </si>
  <si>
    <t>B25311</t>
  </si>
  <si>
    <t>B22033/X22203</t>
  </si>
  <si>
    <t>23B565-04-02</t>
  </si>
  <si>
    <t>B25321</t>
  </si>
  <si>
    <t>23B669-03-04</t>
  </si>
  <si>
    <t>B25322</t>
  </si>
  <si>
    <t>B20536/B22832</t>
  </si>
  <si>
    <t>23B428-01-01</t>
  </si>
  <si>
    <t>B25317</t>
  </si>
  <si>
    <t>23B606-04-05</t>
  </si>
  <si>
    <t>B25319</t>
  </si>
  <si>
    <t>23B652-03-03</t>
  </si>
  <si>
    <t>B25308</t>
  </si>
  <si>
    <t>X22202/B22041</t>
  </si>
  <si>
    <t>23B649-03-01</t>
  </si>
  <si>
    <t>B25310</t>
  </si>
  <si>
    <t>23B541-02-03</t>
  </si>
  <si>
    <t>I25209</t>
  </si>
  <si>
    <t>PVBLPI19-1</t>
  </si>
  <si>
    <t>B25327</t>
  </si>
  <si>
    <t>B22854/B21710</t>
  </si>
  <si>
    <t>23B615-03-01</t>
  </si>
  <si>
    <t>B25302</t>
  </si>
  <si>
    <t>23N228-02-02</t>
  </si>
  <si>
    <t>B25312</t>
  </si>
  <si>
    <t>B22803/X22203</t>
  </si>
  <si>
    <t>23B588-01-01</t>
  </si>
  <si>
    <t>B25304</t>
  </si>
  <si>
    <t>23B419-02-03</t>
  </si>
  <si>
    <t>B25306</t>
  </si>
  <si>
    <t>23B532-03-01</t>
  </si>
  <si>
    <t>B25324</t>
  </si>
  <si>
    <t>23B557-03-02</t>
  </si>
  <si>
    <t>B25326</t>
  </si>
  <si>
    <t>23B557-03-04</t>
  </si>
  <si>
    <t>G24210</t>
  </si>
  <si>
    <t>G21811/I19717</t>
  </si>
  <si>
    <t>2505</t>
  </si>
  <si>
    <t>22G523-04-03</t>
  </si>
  <si>
    <t>P24408</t>
  </si>
  <si>
    <t>P19713/P21901</t>
  </si>
  <si>
    <t>22P601-03-01</t>
  </si>
  <si>
    <t>G24201</t>
  </si>
  <si>
    <t>G16345/G19609</t>
  </si>
  <si>
    <t>22G501-03-01</t>
  </si>
  <si>
    <t>G23108</t>
  </si>
  <si>
    <t>G19607/I15652</t>
  </si>
  <si>
    <t>21G422-04-03</t>
  </si>
  <si>
    <t>G08254</t>
  </si>
  <si>
    <t>G04514/Matterhorn, POWDERHORN</t>
  </si>
  <si>
    <t>05G214 -07-01</t>
  </si>
  <si>
    <t>P24407</t>
  </si>
  <si>
    <t>22P601-02-01</t>
  </si>
  <si>
    <t>G24214</t>
  </si>
  <si>
    <t>X21303/G19613</t>
  </si>
  <si>
    <t>22G537-03-04</t>
  </si>
  <si>
    <t>I24115</t>
  </si>
  <si>
    <t>EX2141-P</t>
  </si>
  <si>
    <t>Kmiecik</t>
  </si>
  <si>
    <t>I15652</t>
  </si>
  <si>
    <t>ND121630, ND PEGASUS</t>
  </si>
  <si>
    <t>NDSU</t>
  </si>
  <si>
    <t>I24123</t>
  </si>
  <si>
    <t>PT21-7-8</t>
  </si>
  <si>
    <t>Miklas</t>
  </si>
  <si>
    <t>P23308</t>
  </si>
  <si>
    <t>P19713/P19103</t>
  </si>
  <si>
    <t>21P526-01-01</t>
  </si>
  <si>
    <t>I23012</t>
  </si>
  <si>
    <t>WMM-556</t>
  </si>
  <si>
    <t>I23010</t>
  </si>
  <si>
    <t>ND191310</t>
  </si>
  <si>
    <t>P16901</t>
  </si>
  <si>
    <t>Eldorado/P11519, CHARRO</t>
  </si>
  <si>
    <t>13P601-02-01-01</t>
  </si>
  <si>
    <t>I24122</t>
  </si>
  <si>
    <t>PT21-6-16</t>
  </si>
  <si>
    <t>P22204</t>
  </si>
  <si>
    <t>P18603/P16901</t>
  </si>
  <si>
    <t>20P410-04-04</t>
  </si>
  <si>
    <t>P24405</t>
  </si>
  <si>
    <t>X21401/X21303</t>
  </si>
  <si>
    <t>22P621-01-02</t>
  </si>
  <si>
    <t>I21902</t>
  </si>
  <si>
    <t>ND172568, ND RODEO</t>
  </si>
  <si>
    <t>I18623</t>
  </si>
  <si>
    <t>PT16-9, USDA DIAMONDBACK</t>
  </si>
  <si>
    <t>P24404</t>
  </si>
  <si>
    <t>P21901/X21401</t>
  </si>
  <si>
    <t>22P614-04-02</t>
  </si>
  <si>
    <t>G24203</t>
  </si>
  <si>
    <t>G16345/G21816</t>
  </si>
  <si>
    <t>22G504-03-02</t>
  </si>
  <si>
    <t>P23304</t>
  </si>
  <si>
    <t>P19707/G19613</t>
  </si>
  <si>
    <t>21P516-01-02</t>
  </si>
  <si>
    <t>P22103</t>
  </si>
  <si>
    <t>P16905/I18623</t>
  </si>
  <si>
    <t>19P414-10-01-02</t>
  </si>
  <si>
    <t>P23311</t>
  </si>
  <si>
    <t>21P526-03-01</t>
  </si>
  <si>
    <t>P24403</t>
  </si>
  <si>
    <t>22P614-04-01</t>
  </si>
  <si>
    <t>P21901</t>
  </si>
  <si>
    <t>P16901/G16306</t>
  </si>
  <si>
    <t>18P521-04-02</t>
  </si>
  <si>
    <t>G16351</t>
  </si>
  <si>
    <t>Eldorado/G13467, EIGER</t>
  </si>
  <si>
    <t>14P401-04-03</t>
  </si>
  <si>
    <t>G22004</t>
  </si>
  <si>
    <t>G17410/G18351</t>
  </si>
  <si>
    <t>20G303-09-04</t>
  </si>
  <si>
    <t>P22208</t>
  </si>
  <si>
    <t>19P426-02-02-03</t>
  </si>
  <si>
    <t>P24402</t>
  </si>
  <si>
    <t>P21901/P19713</t>
  </si>
  <si>
    <t>22P606-03-01</t>
  </si>
  <si>
    <t>4015</t>
  </si>
  <si>
    <t>G25313</t>
  </si>
  <si>
    <t>P16901/X22903</t>
  </si>
  <si>
    <t>2506</t>
  </si>
  <si>
    <t>23P859-01-03</t>
  </si>
  <si>
    <t>G25302</t>
  </si>
  <si>
    <t>G17923/G22001</t>
  </si>
  <si>
    <t>23G711-02-04</t>
  </si>
  <si>
    <t>G25310</t>
  </si>
  <si>
    <t>X22901/P16901</t>
  </si>
  <si>
    <t>23G817-03-02</t>
  </si>
  <si>
    <t>P25602</t>
  </si>
  <si>
    <t>I15652/P16901</t>
  </si>
  <si>
    <t>23G811-01-02</t>
  </si>
  <si>
    <t>P25604</t>
  </si>
  <si>
    <t>P16901/P22204</t>
  </si>
  <si>
    <t>23P854-03-01</t>
  </si>
  <si>
    <t>P25609</t>
  </si>
  <si>
    <t>P22204/G22001</t>
  </si>
  <si>
    <t>23P876-05-01</t>
  </si>
  <si>
    <t>P25610</t>
  </si>
  <si>
    <t>P16901/P19708</t>
  </si>
  <si>
    <t>23P853-01-02</t>
  </si>
  <si>
    <t>S22502</t>
  </si>
  <si>
    <t>Cayenne//R17604/S18909</t>
  </si>
  <si>
    <t>2507</t>
  </si>
  <si>
    <t>19R526-02-01</t>
  </si>
  <si>
    <t>R22714</t>
  </si>
  <si>
    <t>R18401/R17603</t>
  </si>
  <si>
    <t>19R516-03-02-01</t>
  </si>
  <si>
    <t>R23804</t>
  </si>
  <si>
    <t>R20667/R20652</t>
  </si>
  <si>
    <t>21R630-03-01</t>
  </si>
  <si>
    <t>R24912</t>
  </si>
  <si>
    <t>R16503/R18409</t>
  </si>
  <si>
    <t>22R710-01-03</t>
  </si>
  <si>
    <t>R24906</t>
  </si>
  <si>
    <t>R17602/I21914</t>
  </si>
  <si>
    <t>22R719-04-02</t>
  </si>
  <si>
    <t>I22031</t>
  </si>
  <si>
    <t>ND171707</t>
  </si>
  <si>
    <t>Osorno</t>
  </si>
  <si>
    <t>R22703</t>
  </si>
  <si>
    <t>R17604/I19718</t>
  </si>
  <si>
    <t>20R504-04-01</t>
  </si>
  <si>
    <t>R22079</t>
  </si>
  <si>
    <t>R17605/R18403</t>
  </si>
  <si>
    <t>19R512-02-02-01</t>
  </si>
  <si>
    <t>S18904</t>
  </si>
  <si>
    <t>S14706/R13752, CORAL</t>
  </si>
  <si>
    <t>16S604-03-03</t>
  </si>
  <si>
    <t>I13401</t>
  </si>
  <si>
    <t>SR99238/Merlot, VIPER</t>
  </si>
  <si>
    <t>Provita, SR09303</t>
  </si>
  <si>
    <t>S22507</t>
  </si>
  <si>
    <t>S18909/R18403</t>
  </si>
  <si>
    <t>19S608-08-01-03</t>
  </si>
  <si>
    <t>R22073</t>
  </si>
  <si>
    <t>R17602/R18401</t>
  </si>
  <si>
    <t>19R501-07-01-03</t>
  </si>
  <si>
    <t>R22712</t>
  </si>
  <si>
    <t>R17605/S18904</t>
  </si>
  <si>
    <t>19R514-04-02-02</t>
  </si>
  <si>
    <t>R23805</t>
  </si>
  <si>
    <t>R20667/I19718</t>
  </si>
  <si>
    <t>21R632-03-02</t>
  </si>
  <si>
    <t>R12844</t>
  </si>
  <si>
    <t>SR9-5/R09508, CAYENNE</t>
  </si>
  <si>
    <t>10R589 -04-02</t>
  </si>
  <si>
    <t>I24101</t>
  </si>
  <si>
    <t>NDF151006-2</t>
  </si>
  <si>
    <t>R24913</t>
  </si>
  <si>
    <t>R20627/R17602</t>
  </si>
  <si>
    <t>22R733-01-01</t>
  </si>
  <si>
    <t>R22710</t>
  </si>
  <si>
    <t>19R512-02-02-02</t>
  </si>
  <si>
    <t>I25205</t>
  </si>
  <si>
    <t>FRIJOL ROJO CHAPARRASTIQUE</t>
  </si>
  <si>
    <t>2508</t>
  </si>
  <si>
    <t>R25102</t>
  </si>
  <si>
    <t>R22714/R22706</t>
  </si>
  <si>
    <t>23R940-02-01</t>
  </si>
  <si>
    <t>R25110</t>
  </si>
  <si>
    <t>R22092/R22073</t>
  </si>
  <si>
    <t>23R917-01-02</t>
  </si>
  <si>
    <t>R25104</t>
  </si>
  <si>
    <t>23R940-02-06</t>
  </si>
  <si>
    <t>R25114</t>
  </si>
  <si>
    <t>23R917-03-04</t>
  </si>
  <si>
    <t>R25112</t>
  </si>
  <si>
    <t>23R917-02-01</t>
  </si>
  <si>
    <t>R25105</t>
  </si>
  <si>
    <t>23R940-02-07</t>
  </si>
  <si>
    <t>R25117</t>
  </si>
  <si>
    <t>R22093/R20653</t>
  </si>
  <si>
    <t>23R920-03-02</t>
  </si>
  <si>
    <t>R25115</t>
  </si>
  <si>
    <t>23R917-04-03</t>
  </si>
  <si>
    <t>I16711</t>
  </si>
  <si>
    <t>ACUG 13-SR1, OAC ROSITO</t>
  </si>
  <si>
    <t>T Smith</t>
  </si>
  <si>
    <t>S25803</t>
  </si>
  <si>
    <t>S22507/S22088</t>
  </si>
  <si>
    <t>23S971-01-01</t>
  </si>
  <si>
    <t>R25109</t>
  </si>
  <si>
    <t>R20669/R22714</t>
  </si>
  <si>
    <t>23R906-02-02</t>
  </si>
  <si>
    <t>R25111</t>
  </si>
  <si>
    <t>23R917-01-03</t>
  </si>
  <si>
    <t>R25106</t>
  </si>
  <si>
    <t>R22704/R22093</t>
  </si>
  <si>
    <t>23R930-01-05</t>
  </si>
  <si>
    <t>I25201</t>
  </si>
  <si>
    <t>FRIJOL ROJO CENTA COSTENO 2</t>
  </si>
  <si>
    <t>R25107</t>
  </si>
  <si>
    <t>R22714/R22073</t>
  </si>
  <si>
    <t>23R938-01-02</t>
  </si>
  <si>
    <t>S25801</t>
  </si>
  <si>
    <t>S22507/R22073</t>
  </si>
  <si>
    <t>23S968-02-02</t>
  </si>
  <si>
    <t>I25202</t>
  </si>
  <si>
    <t>FRIJOL ROJO BTR 103-182</t>
  </si>
  <si>
    <t>R25113</t>
  </si>
  <si>
    <t>23R917-03-01</t>
  </si>
  <si>
    <t>R25103</t>
  </si>
  <si>
    <t>23R940-02-02</t>
  </si>
  <si>
    <t>R25116</t>
  </si>
  <si>
    <t>23R917-04-04</t>
  </si>
  <si>
    <t>R25108</t>
  </si>
  <si>
    <t>23R938-01-03</t>
  </si>
  <si>
    <t>R25101</t>
  </si>
  <si>
    <t>23R940-01-06</t>
  </si>
  <si>
    <t>S25802</t>
  </si>
  <si>
    <t>23S968-02-05</t>
  </si>
  <si>
    <t>I25230</t>
  </si>
  <si>
    <t>NE1-22-16</t>
  </si>
  <si>
    <t>2512</t>
  </si>
  <si>
    <t>Urrea</t>
  </si>
  <si>
    <t>I24103</t>
  </si>
  <si>
    <t>ND172582</t>
  </si>
  <si>
    <t>I25231</t>
  </si>
  <si>
    <t>NE1-23-41</t>
  </si>
  <si>
    <t>I24102</t>
  </si>
  <si>
    <t>ND181664</t>
  </si>
  <si>
    <t>I25211</t>
  </si>
  <si>
    <t>ND171233</t>
  </si>
  <si>
    <t>I25243</t>
  </si>
  <si>
    <t>NE2-22-36</t>
  </si>
  <si>
    <t>I23004</t>
  </si>
  <si>
    <t>NE1-22-55</t>
  </si>
  <si>
    <t>I23013</t>
  </si>
  <si>
    <t>WMM-750</t>
  </si>
  <si>
    <t>I07113</t>
  </si>
  <si>
    <t>PNE-6-94-75/Kodiak, LAPAZ</t>
  </si>
  <si>
    <t>LAPAZ</t>
  </si>
  <si>
    <t>I25212</t>
  </si>
  <si>
    <t>ND200832</t>
  </si>
  <si>
    <t>I10109</t>
  </si>
  <si>
    <t>Buster/Matterhorn, WINDBREAKER</t>
  </si>
  <si>
    <t>WINDBREAKER</t>
  </si>
  <si>
    <t>R98026</t>
  </si>
  <si>
    <t>R94037/R94161, MERLOT</t>
  </si>
  <si>
    <t>94U079-02-01</t>
  </si>
  <si>
    <t>I25242</t>
  </si>
  <si>
    <t>NE2-22-18</t>
  </si>
  <si>
    <t>I25233</t>
  </si>
  <si>
    <t>NE2-22-12</t>
  </si>
  <si>
    <t>mycal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</si>
</sst>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2" fontId="1" fillId="2" borderId="1" xfId="0" applyNumberFormat="1" applyFont="1" applyFill="1" applyBorder="1" applyAlignment="1">
      <alignment horizontal="center" vertical="top"/>
    </xf>
    <xf numFmtId="2" fontId="0" fillId="2" borderId="0" xfId="0" applyNumberFormat="1" applyFill="1"/>
    <xf numFmtId="0" fontId="1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723"/>
  <sheetViews>
    <sheetView tabSelected="1" topLeftCell="D1" workbookViewId="0">
      <selection activeCell="V628" sqref="V628"/>
    </sheetView>
  </sheetViews>
  <sheetFormatPr defaultRowHeight="15" x14ac:dyDescent="0.25"/>
  <cols>
    <col min="16" max="16" width="9.140625" style="3"/>
    <col min="18" max="18" width="9.140625" style="5"/>
    <col min="19" max="19" width="14.42578125" bestFit="1" customWidth="1"/>
    <col min="20" max="20" width="9.140625" style="3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4" t="s">
        <v>17</v>
      </c>
      <c r="S1" s="1" t="s">
        <v>18</v>
      </c>
      <c r="T1" s="6" t="s">
        <v>703</v>
      </c>
    </row>
    <row r="2" spans="1:20" hidden="1" x14ac:dyDescent="0.25">
      <c r="A2" t="s">
        <v>208</v>
      </c>
      <c r="B2">
        <v>35</v>
      </c>
      <c r="C2">
        <v>13</v>
      </c>
      <c r="D2">
        <v>3</v>
      </c>
      <c r="E2">
        <v>4</v>
      </c>
      <c r="F2">
        <v>16</v>
      </c>
      <c r="G2">
        <v>9</v>
      </c>
      <c r="H2" t="s">
        <v>80</v>
      </c>
      <c r="I2" t="s">
        <v>81</v>
      </c>
      <c r="J2" t="s">
        <v>22</v>
      </c>
      <c r="K2" t="s">
        <v>82</v>
      </c>
      <c r="L2">
        <v>2025</v>
      </c>
      <c r="M2" t="s">
        <v>24</v>
      </c>
      <c r="N2">
        <v>1501.42</v>
      </c>
      <c r="O2">
        <v>13</v>
      </c>
      <c r="P2" s="3">
        <v>25.521469882580998</v>
      </c>
      <c r="Q2">
        <v>4.7434771320921341</v>
      </c>
      <c r="R2">
        <v>56</v>
      </c>
      <c r="S2">
        <v>27.31708758503402</v>
      </c>
      <c r="T2">
        <f t="shared" ref="T2:T33" si="0">IF(N2&lt;= 0, -9, N2/ 453.6 / (R2/ 43560) * ((100 - O2) / (100 - 18)) / 100)</f>
        <v>27.31708758503402</v>
      </c>
    </row>
    <row r="3" spans="1:20" hidden="1" x14ac:dyDescent="0.25">
      <c r="A3" t="s">
        <v>114</v>
      </c>
      <c r="B3">
        <v>12</v>
      </c>
      <c r="C3">
        <v>9</v>
      </c>
      <c r="D3">
        <v>1</v>
      </c>
      <c r="E3">
        <v>5</v>
      </c>
      <c r="F3">
        <v>5</v>
      </c>
      <c r="G3">
        <v>10</v>
      </c>
      <c r="H3" t="s">
        <v>115</v>
      </c>
      <c r="I3" t="s">
        <v>116</v>
      </c>
      <c r="J3" t="s">
        <v>22</v>
      </c>
      <c r="K3" t="s">
        <v>117</v>
      </c>
      <c r="L3">
        <v>2025</v>
      </c>
      <c r="M3" t="s">
        <v>24</v>
      </c>
      <c r="N3">
        <v>1728.22</v>
      </c>
      <c r="O3">
        <v>12.8</v>
      </c>
      <c r="P3" s="3">
        <v>29.444199109420399</v>
      </c>
      <c r="Q3">
        <v>2.5345636309255291</v>
      </c>
      <c r="R3">
        <v>61.8</v>
      </c>
      <c r="S3">
        <v>28.558014476030113</v>
      </c>
      <c r="T3">
        <f t="shared" si="0"/>
        <v>28.558014476030113</v>
      </c>
    </row>
    <row r="4" spans="1:20" hidden="1" x14ac:dyDescent="0.25">
      <c r="A4" t="s">
        <v>239</v>
      </c>
      <c r="B4">
        <v>11</v>
      </c>
      <c r="C4">
        <v>15</v>
      </c>
      <c r="D4">
        <v>4</v>
      </c>
      <c r="E4">
        <v>3</v>
      </c>
      <c r="F4">
        <v>21</v>
      </c>
      <c r="G4">
        <v>11</v>
      </c>
      <c r="H4" t="s">
        <v>139</v>
      </c>
      <c r="I4" t="s">
        <v>140</v>
      </c>
      <c r="J4" t="s">
        <v>22</v>
      </c>
      <c r="K4" t="s">
        <v>141</v>
      </c>
      <c r="L4">
        <v>2025</v>
      </c>
      <c r="M4" t="s">
        <v>24</v>
      </c>
      <c r="N4">
        <v>1755.43</v>
      </c>
      <c r="O4">
        <v>14.9</v>
      </c>
      <c r="P4" s="3">
        <v>29.187527721617599</v>
      </c>
      <c r="Q4">
        <v>2.3582653714452189</v>
      </c>
      <c r="R4">
        <v>66.900000000000006</v>
      </c>
      <c r="S4">
        <v>26.150977752373084</v>
      </c>
      <c r="T4">
        <f t="shared" si="0"/>
        <v>26.150977752373084</v>
      </c>
    </row>
    <row r="5" spans="1:20" hidden="1" x14ac:dyDescent="0.25">
      <c r="A5" t="s">
        <v>242</v>
      </c>
      <c r="B5">
        <v>26</v>
      </c>
      <c r="C5">
        <v>35</v>
      </c>
      <c r="D5">
        <v>4</v>
      </c>
      <c r="E5">
        <v>4</v>
      </c>
      <c r="F5">
        <v>22</v>
      </c>
      <c r="G5">
        <v>8</v>
      </c>
      <c r="H5" t="s">
        <v>20</v>
      </c>
      <c r="I5" t="s">
        <v>21</v>
      </c>
      <c r="J5" t="s">
        <v>22</v>
      </c>
      <c r="K5" t="s">
        <v>23</v>
      </c>
      <c r="L5">
        <v>2025</v>
      </c>
      <c r="M5" t="s">
        <v>24</v>
      </c>
      <c r="N5">
        <v>1319.98</v>
      </c>
      <c r="O5">
        <v>13</v>
      </c>
      <c r="P5" s="3">
        <v>22.437312554521199</v>
      </c>
      <c r="Q5">
        <v>4.3955797065898832</v>
      </c>
      <c r="R5">
        <v>56</v>
      </c>
      <c r="S5">
        <v>24.01593775925004</v>
      </c>
      <c r="T5">
        <f t="shared" si="0"/>
        <v>24.01593775925004</v>
      </c>
    </row>
    <row r="6" spans="1:20" hidden="1" x14ac:dyDescent="0.25">
      <c r="A6" t="s">
        <v>209</v>
      </c>
      <c r="B6">
        <v>11</v>
      </c>
      <c r="C6">
        <v>16</v>
      </c>
      <c r="D6">
        <v>3</v>
      </c>
      <c r="E6">
        <v>4</v>
      </c>
      <c r="F6">
        <v>16</v>
      </c>
      <c r="G6">
        <v>10</v>
      </c>
      <c r="H6" t="s">
        <v>73</v>
      </c>
      <c r="I6" t="s">
        <v>74</v>
      </c>
      <c r="J6" t="s">
        <v>22</v>
      </c>
      <c r="K6" t="s">
        <v>75</v>
      </c>
      <c r="L6">
        <v>2025</v>
      </c>
      <c r="M6" t="s">
        <v>24</v>
      </c>
      <c r="N6">
        <v>1719.14</v>
      </c>
      <c r="O6">
        <v>13.5</v>
      </c>
      <c r="P6" s="3">
        <v>29.054378307201301</v>
      </c>
      <c r="Q6">
        <v>1.870965734371022</v>
      </c>
      <c r="R6">
        <v>69.5</v>
      </c>
      <c r="S6">
        <v>25.057833607678319</v>
      </c>
      <c r="T6">
        <f t="shared" si="0"/>
        <v>25.057833607678319</v>
      </c>
    </row>
    <row r="7" spans="1:20" hidden="1" x14ac:dyDescent="0.25">
      <c r="A7" t="s">
        <v>161</v>
      </c>
      <c r="B7">
        <v>13</v>
      </c>
      <c r="C7">
        <v>24</v>
      </c>
      <c r="D7">
        <v>2</v>
      </c>
      <c r="E7">
        <v>2</v>
      </c>
      <c r="F7">
        <v>8</v>
      </c>
      <c r="G7">
        <v>10</v>
      </c>
      <c r="H7" t="s">
        <v>123</v>
      </c>
      <c r="I7" t="s">
        <v>124</v>
      </c>
      <c r="J7" t="s">
        <v>22</v>
      </c>
      <c r="K7" t="s">
        <v>125</v>
      </c>
      <c r="L7">
        <v>2025</v>
      </c>
      <c r="M7" t="s">
        <v>24</v>
      </c>
      <c r="N7">
        <v>1460.59</v>
      </c>
      <c r="O7">
        <v>13.3</v>
      </c>
      <c r="P7" s="3">
        <v>24.741820658250202</v>
      </c>
      <c r="Q7">
        <v>2.4292680889116092</v>
      </c>
      <c r="R7">
        <v>62.3</v>
      </c>
      <c r="S7">
        <v>23.804570309077317</v>
      </c>
      <c r="T7">
        <f t="shared" si="0"/>
        <v>23.804570309077317</v>
      </c>
    </row>
    <row r="8" spans="1:20" hidden="1" x14ac:dyDescent="0.25">
      <c r="A8" t="s">
        <v>19</v>
      </c>
      <c r="B8">
        <v>20</v>
      </c>
      <c r="C8">
        <v>35</v>
      </c>
      <c r="D8">
        <v>1</v>
      </c>
      <c r="E8">
        <v>1</v>
      </c>
      <c r="F8">
        <v>1</v>
      </c>
      <c r="G8">
        <v>8</v>
      </c>
      <c r="H8" t="s">
        <v>20</v>
      </c>
      <c r="I8" t="s">
        <v>21</v>
      </c>
      <c r="J8" t="s">
        <v>22</v>
      </c>
      <c r="K8" t="s">
        <v>23</v>
      </c>
      <c r="L8">
        <v>2025</v>
      </c>
      <c r="M8" t="s">
        <v>24</v>
      </c>
      <c r="N8">
        <v>1215.6500000000001</v>
      </c>
      <c r="O8">
        <v>12.45</v>
      </c>
      <c r="P8" s="3">
        <v>20.7945218697534</v>
      </c>
      <c r="Q8">
        <v>3.4543204562307301</v>
      </c>
      <c r="R8">
        <v>55.45</v>
      </c>
      <c r="S8">
        <v>22.478334371019219</v>
      </c>
      <c r="T8">
        <f t="shared" si="0"/>
        <v>22.478334371019219</v>
      </c>
    </row>
    <row r="9" spans="1:20" hidden="1" x14ac:dyDescent="0.25">
      <c r="A9" t="s">
        <v>134</v>
      </c>
      <c r="B9">
        <v>12</v>
      </c>
      <c r="C9">
        <v>26</v>
      </c>
      <c r="D9">
        <v>1</v>
      </c>
      <c r="E9">
        <v>6</v>
      </c>
      <c r="F9">
        <v>6</v>
      </c>
      <c r="G9">
        <v>9</v>
      </c>
      <c r="H9" t="s">
        <v>135</v>
      </c>
      <c r="I9" t="s">
        <v>136</v>
      </c>
      <c r="J9" t="s">
        <v>22</v>
      </c>
      <c r="K9" t="s">
        <v>137</v>
      </c>
      <c r="L9">
        <v>2025</v>
      </c>
      <c r="M9" t="s">
        <v>24</v>
      </c>
      <c r="N9">
        <v>1632.96</v>
      </c>
      <c r="O9">
        <v>13.2</v>
      </c>
      <c r="P9" s="3">
        <v>27.693605800922899</v>
      </c>
      <c r="Q9">
        <v>2.6546958073394422</v>
      </c>
      <c r="R9">
        <v>59.2</v>
      </c>
      <c r="S9">
        <v>28.039775873434408</v>
      </c>
      <c r="T9">
        <f t="shared" si="0"/>
        <v>28.039775873434408</v>
      </c>
    </row>
    <row r="10" spans="1:20" hidden="1" x14ac:dyDescent="0.25">
      <c r="A10" t="s">
        <v>110</v>
      </c>
      <c r="B10">
        <v>10</v>
      </c>
      <c r="C10">
        <v>7</v>
      </c>
      <c r="D10">
        <v>1</v>
      </c>
      <c r="E10">
        <v>5</v>
      </c>
      <c r="F10">
        <v>5</v>
      </c>
      <c r="G10">
        <v>9</v>
      </c>
      <c r="H10" t="s">
        <v>111</v>
      </c>
      <c r="I10" t="s">
        <v>112</v>
      </c>
      <c r="J10" t="s">
        <v>22</v>
      </c>
      <c r="K10" t="s">
        <v>113</v>
      </c>
      <c r="L10">
        <v>2025</v>
      </c>
      <c r="M10" t="s">
        <v>24</v>
      </c>
      <c r="N10">
        <v>1474.2</v>
      </c>
      <c r="O10">
        <v>12.9</v>
      </c>
      <c r="P10" s="3">
        <v>25.087581483923</v>
      </c>
      <c r="Q10">
        <v>2.274592630647557</v>
      </c>
      <c r="R10">
        <v>54.9</v>
      </c>
      <c r="S10">
        <v>27.39070371851259</v>
      </c>
      <c r="T10">
        <f t="shared" si="0"/>
        <v>27.39070371851259</v>
      </c>
    </row>
    <row r="11" spans="1:20" hidden="1" x14ac:dyDescent="0.25">
      <c r="A11" t="s">
        <v>223</v>
      </c>
      <c r="B11">
        <v>25</v>
      </c>
      <c r="C11">
        <v>9</v>
      </c>
      <c r="D11">
        <v>3</v>
      </c>
      <c r="E11">
        <v>6</v>
      </c>
      <c r="F11">
        <v>18</v>
      </c>
      <c r="G11">
        <v>12</v>
      </c>
      <c r="H11" t="s">
        <v>115</v>
      </c>
      <c r="I11" t="s">
        <v>116</v>
      </c>
      <c r="J11" t="s">
        <v>22</v>
      </c>
      <c r="K11" t="s">
        <v>117</v>
      </c>
      <c r="L11">
        <v>2025</v>
      </c>
      <c r="M11" t="s">
        <v>24</v>
      </c>
      <c r="N11">
        <v>1616.78</v>
      </c>
      <c r="O11">
        <v>16.7</v>
      </c>
      <c r="P11" s="3">
        <v>26.313593652369601</v>
      </c>
      <c r="Q11">
        <v>3.649710556349</v>
      </c>
      <c r="R11">
        <v>57.7</v>
      </c>
      <c r="S11">
        <v>27.335126577522274</v>
      </c>
      <c r="T11">
        <f t="shared" si="0"/>
        <v>27.335126577522274</v>
      </c>
    </row>
    <row r="12" spans="1:20" hidden="1" x14ac:dyDescent="0.25">
      <c r="A12" t="s">
        <v>118</v>
      </c>
      <c r="B12">
        <v>9</v>
      </c>
      <c r="C12">
        <v>22</v>
      </c>
      <c r="D12">
        <v>1</v>
      </c>
      <c r="E12">
        <v>5</v>
      </c>
      <c r="F12">
        <v>5</v>
      </c>
      <c r="G12">
        <v>11</v>
      </c>
      <c r="H12" t="s">
        <v>119</v>
      </c>
      <c r="I12" t="s">
        <v>120</v>
      </c>
      <c r="J12" t="s">
        <v>22</v>
      </c>
      <c r="K12" t="s">
        <v>121</v>
      </c>
      <c r="L12">
        <v>2025</v>
      </c>
      <c r="M12" t="s">
        <v>24</v>
      </c>
      <c r="N12">
        <v>1569.46</v>
      </c>
      <c r="O12">
        <v>12.7</v>
      </c>
      <c r="P12" s="3">
        <v>26.770022083640001</v>
      </c>
      <c r="Q12">
        <v>1.920016550318006</v>
      </c>
      <c r="R12">
        <v>58.7</v>
      </c>
      <c r="S12">
        <v>27.335521698354</v>
      </c>
      <c r="T12">
        <f t="shared" si="0"/>
        <v>27.335521698354</v>
      </c>
    </row>
    <row r="13" spans="1:20" hidden="1" x14ac:dyDescent="0.25">
      <c r="A13" t="s">
        <v>153</v>
      </c>
      <c r="B13">
        <v>23</v>
      </c>
      <c r="C13">
        <v>18</v>
      </c>
      <c r="D13">
        <v>2</v>
      </c>
      <c r="E13">
        <v>1</v>
      </c>
      <c r="F13">
        <v>7</v>
      </c>
      <c r="G13">
        <v>8</v>
      </c>
      <c r="H13" t="s">
        <v>77</v>
      </c>
      <c r="I13" t="s">
        <v>39</v>
      </c>
      <c r="J13" t="s">
        <v>22</v>
      </c>
      <c r="K13" t="s">
        <v>78</v>
      </c>
      <c r="L13">
        <v>2025</v>
      </c>
      <c r="M13" t="s">
        <v>24</v>
      </c>
      <c r="N13">
        <v>1469.66</v>
      </c>
      <c r="O13">
        <v>13.9</v>
      </c>
      <c r="P13" s="3">
        <v>24.723175953731499</v>
      </c>
      <c r="Q13">
        <v>3.7803369425312559</v>
      </c>
      <c r="R13">
        <v>54.9</v>
      </c>
      <c r="S13">
        <v>26.992844565877345</v>
      </c>
      <c r="T13">
        <f t="shared" si="0"/>
        <v>26.992844565877345</v>
      </c>
    </row>
    <row r="14" spans="1:20" hidden="1" x14ac:dyDescent="0.25">
      <c r="A14" t="s">
        <v>207</v>
      </c>
      <c r="B14">
        <v>16</v>
      </c>
      <c r="C14">
        <v>32</v>
      </c>
      <c r="D14">
        <v>3</v>
      </c>
      <c r="E14">
        <v>4</v>
      </c>
      <c r="F14">
        <v>16</v>
      </c>
      <c r="G14">
        <v>8</v>
      </c>
      <c r="H14" t="s">
        <v>168</v>
      </c>
      <c r="I14" t="s">
        <v>148</v>
      </c>
      <c r="J14" t="s">
        <v>22</v>
      </c>
      <c r="K14" t="s">
        <v>169</v>
      </c>
      <c r="L14">
        <v>2025</v>
      </c>
      <c r="M14" t="s">
        <v>24</v>
      </c>
      <c r="N14">
        <v>1596.67</v>
      </c>
      <c r="O14">
        <v>13.6</v>
      </c>
      <c r="P14" s="3">
        <v>26.953374280203501</v>
      </c>
      <c r="Q14">
        <v>2.9952664435295189</v>
      </c>
      <c r="R14">
        <v>59.6</v>
      </c>
      <c r="S14">
        <v>27.107135140191289</v>
      </c>
      <c r="T14">
        <f t="shared" si="0"/>
        <v>27.107135140191289</v>
      </c>
    </row>
    <row r="15" spans="1:20" hidden="1" x14ac:dyDescent="0.25">
      <c r="A15" t="s">
        <v>231</v>
      </c>
      <c r="B15">
        <v>27</v>
      </c>
      <c r="C15">
        <v>27</v>
      </c>
      <c r="D15">
        <v>4</v>
      </c>
      <c r="E15">
        <v>2</v>
      </c>
      <c r="F15">
        <v>20</v>
      </c>
      <c r="G15">
        <v>8</v>
      </c>
      <c r="H15" t="s">
        <v>42</v>
      </c>
      <c r="I15" t="s">
        <v>43</v>
      </c>
      <c r="J15" t="s">
        <v>22</v>
      </c>
      <c r="K15" t="s">
        <v>44</v>
      </c>
      <c r="L15">
        <v>2025</v>
      </c>
      <c r="M15" t="s">
        <v>24</v>
      </c>
      <c r="N15">
        <v>1247.48</v>
      </c>
      <c r="O15">
        <v>13.1</v>
      </c>
      <c r="P15" s="3">
        <v>21.180567992175899</v>
      </c>
      <c r="Q15">
        <v>4.2147549301784606</v>
      </c>
      <c r="R15">
        <v>49.1</v>
      </c>
      <c r="S15">
        <v>25.856685243401753</v>
      </c>
      <c r="T15">
        <f t="shared" si="0"/>
        <v>25.856685243401753</v>
      </c>
    </row>
    <row r="16" spans="1:20" hidden="1" x14ac:dyDescent="0.25">
      <c r="A16" t="s">
        <v>214</v>
      </c>
      <c r="B16">
        <v>9</v>
      </c>
      <c r="C16">
        <v>26</v>
      </c>
      <c r="D16">
        <v>3</v>
      </c>
      <c r="E16">
        <v>5</v>
      </c>
      <c r="F16">
        <v>17</v>
      </c>
      <c r="G16">
        <v>9</v>
      </c>
      <c r="H16" t="s">
        <v>135</v>
      </c>
      <c r="I16" t="s">
        <v>136</v>
      </c>
      <c r="J16" t="s">
        <v>22</v>
      </c>
      <c r="K16" t="s">
        <v>137</v>
      </c>
      <c r="L16">
        <v>2025</v>
      </c>
      <c r="M16" t="s">
        <v>24</v>
      </c>
      <c r="N16">
        <v>1601.21</v>
      </c>
      <c r="O16">
        <v>13.4</v>
      </c>
      <c r="P16" s="3">
        <v>27.092583462931302</v>
      </c>
      <c r="Q16">
        <v>1.7513361774638141</v>
      </c>
      <c r="R16">
        <v>61.4</v>
      </c>
      <c r="S16">
        <v>26.448362422933204</v>
      </c>
      <c r="T16">
        <f t="shared" si="0"/>
        <v>26.448362422933204</v>
      </c>
    </row>
    <row r="17" spans="1:20" hidden="1" x14ac:dyDescent="0.25">
      <c r="A17" t="s">
        <v>198</v>
      </c>
      <c r="B17">
        <v>12</v>
      </c>
      <c r="C17">
        <v>8</v>
      </c>
      <c r="D17">
        <v>3</v>
      </c>
      <c r="E17">
        <v>2</v>
      </c>
      <c r="F17">
        <v>14</v>
      </c>
      <c r="G17">
        <v>11</v>
      </c>
      <c r="H17" t="s">
        <v>34</v>
      </c>
      <c r="I17" t="s">
        <v>35</v>
      </c>
      <c r="J17" t="s">
        <v>22</v>
      </c>
      <c r="K17" t="s">
        <v>36</v>
      </c>
      <c r="L17">
        <v>2025</v>
      </c>
      <c r="M17" t="s">
        <v>24</v>
      </c>
      <c r="N17">
        <v>1592.14</v>
      </c>
      <c r="O17">
        <v>14.5</v>
      </c>
      <c r="P17" s="3">
        <v>26.596935640634801</v>
      </c>
      <c r="Q17">
        <v>2.735949109867017</v>
      </c>
      <c r="R17">
        <v>60.5</v>
      </c>
      <c r="S17">
        <v>26.350749128919865</v>
      </c>
      <c r="T17">
        <f t="shared" si="0"/>
        <v>26.350749128919865</v>
      </c>
    </row>
    <row r="18" spans="1:20" hidden="1" x14ac:dyDescent="0.25">
      <c r="A18" t="s">
        <v>228</v>
      </c>
      <c r="B18">
        <v>15</v>
      </c>
      <c r="C18">
        <v>9</v>
      </c>
      <c r="D18">
        <v>4</v>
      </c>
      <c r="E18">
        <v>1</v>
      </c>
      <c r="F18">
        <v>19</v>
      </c>
      <c r="G18">
        <v>11</v>
      </c>
      <c r="H18" t="s">
        <v>115</v>
      </c>
      <c r="I18" t="s">
        <v>116</v>
      </c>
      <c r="J18" t="s">
        <v>22</v>
      </c>
      <c r="K18" t="s">
        <v>117</v>
      </c>
      <c r="L18">
        <v>2025</v>
      </c>
      <c r="M18" t="s">
        <v>24</v>
      </c>
      <c r="N18">
        <v>1319.98</v>
      </c>
      <c r="O18">
        <v>13.3</v>
      </c>
      <c r="P18" s="3">
        <v>22.3599425112298</v>
      </c>
      <c r="Q18">
        <v>2.588546390445706</v>
      </c>
      <c r="R18">
        <v>52.3</v>
      </c>
      <c r="S18">
        <v>25.626289753788004</v>
      </c>
      <c r="T18">
        <f t="shared" si="0"/>
        <v>25.626289753788004</v>
      </c>
    </row>
    <row r="19" spans="1:20" hidden="1" x14ac:dyDescent="0.25">
      <c r="A19" t="s">
        <v>106</v>
      </c>
      <c r="B19">
        <v>16</v>
      </c>
      <c r="C19">
        <v>4</v>
      </c>
      <c r="D19">
        <v>1</v>
      </c>
      <c r="E19">
        <v>5</v>
      </c>
      <c r="F19">
        <v>5</v>
      </c>
      <c r="G19">
        <v>8</v>
      </c>
      <c r="H19" t="s">
        <v>107</v>
      </c>
      <c r="I19" t="s">
        <v>108</v>
      </c>
      <c r="J19" t="s">
        <v>22</v>
      </c>
      <c r="K19" t="s">
        <v>109</v>
      </c>
      <c r="L19">
        <v>2025</v>
      </c>
      <c r="M19" t="s">
        <v>24</v>
      </c>
      <c r="N19">
        <v>1519.56</v>
      </c>
      <c r="O19">
        <v>13.2</v>
      </c>
      <c r="P19" s="3">
        <v>25.770438731414298</v>
      </c>
      <c r="Q19">
        <v>3.0406822992055078</v>
      </c>
      <c r="R19">
        <v>59.2</v>
      </c>
      <c r="S19">
        <v>26.09256921555702</v>
      </c>
      <c r="T19">
        <f t="shared" si="0"/>
        <v>26.09256921555702</v>
      </c>
    </row>
    <row r="20" spans="1:20" hidden="1" x14ac:dyDescent="0.25">
      <c r="A20" t="s">
        <v>142</v>
      </c>
      <c r="B20">
        <v>23</v>
      </c>
      <c r="C20">
        <v>6</v>
      </c>
      <c r="D20">
        <v>1</v>
      </c>
      <c r="E20">
        <v>6</v>
      </c>
      <c r="F20">
        <v>6</v>
      </c>
      <c r="G20">
        <v>11</v>
      </c>
      <c r="H20" t="s">
        <v>143</v>
      </c>
      <c r="I20" t="s">
        <v>144</v>
      </c>
      <c r="J20" t="s">
        <v>22</v>
      </c>
      <c r="K20" t="s">
        <v>145</v>
      </c>
      <c r="L20">
        <v>2025</v>
      </c>
      <c r="M20" t="s">
        <v>24</v>
      </c>
      <c r="N20">
        <v>1505.95</v>
      </c>
      <c r="O20">
        <v>13.1</v>
      </c>
      <c r="P20" s="3">
        <v>25.5690482956179</v>
      </c>
      <c r="Q20">
        <v>3.47710125412411</v>
      </c>
      <c r="R20">
        <v>59.1</v>
      </c>
      <c r="S20">
        <v>25.932466240936279</v>
      </c>
      <c r="T20">
        <f t="shared" si="0"/>
        <v>25.932466240936279</v>
      </c>
    </row>
    <row r="21" spans="1:20" hidden="1" x14ac:dyDescent="0.25">
      <c r="A21" t="s">
        <v>215</v>
      </c>
      <c r="B21">
        <v>13</v>
      </c>
      <c r="C21">
        <v>23</v>
      </c>
      <c r="D21">
        <v>3</v>
      </c>
      <c r="E21">
        <v>5</v>
      </c>
      <c r="F21">
        <v>17</v>
      </c>
      <c r="G21">
        <v>10</v>
      </c>
      <c r="H21" t="s">
        <v>147</v>
      </c>
      <c r="I21" t="s">
        <v>148</v>
      </c>
      <c r="J21" t="s">
        <v>22</v>
      </c>
      <c r="K21" t="s">
        <v>149</v>
      </c>
      <c r="L21">
        <v>2025</v>
      </c>
      <c r="M21" t="s">
        <v>24</v>
      </c>
      <c r="N21">
        <v>1281.1199999999999</v>
      </c>
      <c r="O21">
        <v>13.1</v>
      </c>
      <c r="P21" s="3">
        <v>21.751730902408401</v>
      </c>
      <c r="Q21">
        <v>2.5094729546942389</v>
      </c>
      <c r="R21">
        <v>52.1</v>
      </c>
      <c r="S21">
        <v>25.02492802860576</v>
      </c>
      <c r="T21">
        <f t="shared" si="0"/>
        <v>25.02492802860576</v>
      </c>
    </row>
    <row r="22" spans="1:20" hidden="1" x14ac:dyDescent="0.25">
      <c r="A22" t="s">
        <v>204</v>
      </c>
      <c r="B22">
        <v>20</v>
      </c>
      <c r="C22">
        <v>2</v>
      </c>
      <c r="D22">
        <v>3</v>
      </c>
      <c r="E22">
        <v>3</v>
      </c>
      <c r="F22">
        <v>15</v>
      </c>
      <c r="G22">
        <v>11</v>
      </c>
      <c r="H22" t="s">
        <v>104</v>
      </c>
      <c r="I22" t="s">
        <v>85</v>
      </c>
      <c r="J22" t="s">
        <v>22</v>
      </c>
      <c r="K22" t="s">
        <v>105</v>
      </c>
      <c r="L22">
        <v>2025</v>
      </c>
      <c r="M22" t="s">
        <v>24</v>
      </c>
      <c r="N22">
        <v>1360.8</v>
      </c>
      <c r="O22">
        <v>13.6</v>
      </c>
      <c r="P22" s="3">
        <v>22.9716545814107</v>
      </c>
      <c r="Q22">
        <v>3.6205085302229021</v>
      </c>
      <c r="R22">
        <v>54.6</v>
      </c>
      <c r="S22">
        <v>25.218332886625568</v>
      </c>
      <c r="T22">
        <f t="shared" si="0"/>
        <v>25.218332886625568</v>
      </c>
    </row>
    <row r="23" spans="1:20" hidden="1" x14ac:dyDescent="0.25">
      <c r="A23" t="s">
        <v>196</v>
      </c>
      <c r="B23">
        <v>12</v>
      </c>
      <c r="C23">
        <v>27</v>
      </c>
      <c r="D23">
        <v>3</v>
      </c>
      <c r="E23">
        <v>2</v>
      </c>
      <c r="F23">
        <v>14</v>
      </c>
      <c r="G23">
        <v>9</v>
      </c>
      <c r="H23" t="s">
        <v>42</v>
      </c>
      <c r="I23" t="s">
        <v>43</v>
      </c>
      <c r="J23" t="s">
        <v>22</v>
      </c>
      <c r="K23" t="s">
        <v>44</v>
      </c>
      <c r="L23">
        <v>2025</v>
      </c>
      <c r="M23" t="s">
        <v>24</v>
      </c>
      <c r="N23">
        <v>1510.49</v>
      </c>
      <c r="O23">
        <v>13.7</v>
      </c>
      <c r="P23" s="3">
        <v>25.469058113152499</v>
      </c>
      <c r="Q23">
        <v>2.7896806296197552</v>
      </c>
      <c r="R23">
        <v>59.7</v>
      </c>
      <c r="S23">
        <v>25.571446286471719</v>
      </c>
      <c r="T23">
        <f t="shared" si="0"/>
        <v>25.571446286471719</v>
      </c>
    </row>
    <row r="24" spans="1:20" hidden="1" x14ac:dyDescent="0.25">
      <c r="A24" t="s">
        <v>197</v>
      </c>
      <c r="B24">
        <v>12</v>
      </c>
      <c r="C24">
        <v>1</v>
      </c>
      <c r="D24">
        <v>3</v>
      </c>
      <c r="E24">
        <v>2</v>
      </c>
      <c r="F24">
        <v>14</v>
      </c>
      <c r="G24">
        <v>10</v>
      </c>
      <c r="H24" t="s">
        <v>38</v>
      </c>
      <c r="I24" t="s">
        <v>39</v>
      </c>
      <c r="J24" t="s">
        <v>22</v>
      </c>
      <c r="K24" t="s">
        <v>40</v>
      </c>
      <c r="L24">
        <v>2025</v>
      </c>
      <c r="M24" t="s">
        <v>24</v>
      </c>
      <c r="N24">
        <v>1487.81</v>
      </c>
      <c r="O24">
        <v>13.9</v>
      </c>
      <c r="P24" s="3">
        <v>25.028502113224299</v>
      </c>
      <c r="Q24">
        <v>2.6207716842320532</v>
      </c>
      <c r="R24">
        <v>59.9</v>
      </c>
      <c r="S24">
        <v>25.045215637173058</v>
      </c>
      <c r="T24">
        <f t="shared" si="0"/>
        <v>25.045215637173058</v>
      </c>
    </row>
    <row r="25" spans="1:20" hidden="1" x14ac:dyDescent="0.25">
      <c r="A25" t="s">
        <v>227</v>
      </c>
      <c r="B25">
        <v>13</v>
      </c>
      <c r="C25">
        <v>36</v>
      </c>
      <c r="D25">
        <v>4</v>
      </c>
      <c r="E25">
        <v>1</v>
      </c>
      <c r="F25">
        <v>19</v>
      </c>
      <c r="G25">
        <v>10</v>
      </c>
      <c r="H25" t="s">
        <v>58</v>
      </c>
      <c r="I25" t="s">
        <v>21</v>
      </c>
      <c r="J25" t="s">
        <v>22</v>
      </c>
      <c r="K25" t="s">
        <v>59</v>
      </c>
      <c r="L25">
        <v>2025</v>
      </c>
      <c r="M25" t="s">
        <v>24</v>
      </c>
      <c r="N25">
        <v>1306.3699999999999</v>
      </c>
      <c r="O25">
        <v>12.9</v>
      </c>
      <c r="P25" s="3">
        <v>22.231490858195901</v>
      </c>
      <c r="Q25">
        <v>2.3951734838907521</v>
      </c>
      <c r="R25">
        <f>O25+33</f>
        <v>45.9</v>
      </c>
      <c r="S25">
        <v>29.031711591291131</v>
      </c>
      <c r="T25">
        <f t="shared" si="0"/>
        <v>29.031711591291131</v>
      </c>
    </row>
    <row r="26" spans="1:20" hidden="1" x14ac:dyDescent="0.25">
      <c r="A26" t="s">
        <v>177</v>
      </c>
      <c r="B26">
        <v>11</v>
      </c>
      <c r="C26">
        <v>9</v>
      </c>
      <c r="D26">
        <v>2</v>
      </c>
      <c r="E26">
        <v>4</v>
      </c>
      <c r="F26">
        <v>10</v>
      </c>
      <c r="G26">
        <v>12</v>
      </c>
      <c r="H26" t="s">
        <v>115</v>
      </c>
      <c r="I26" t="s">
        <v>116</v>
      </c>
      <c r="J26" t="s">
        <v>22</v>
      </c>
      <c r="K26" t="s">
        <v>117</v>
      </c>
      <c r="L26">
        <v>2025</v>
      </c>
      <c r="M26" t="s">
        <v>24</v>
      </c>
      <c r="N26">
        <v>1546.78</v>
      </c>
      <c r="O26">
        <v>18.2</v>
      </c>
      <c r="P26" s="3">
        <v>24.721002916711999</v>
      </c>
      <c r="Q26">
        <v>2.0808418549521921</v>
      </c>
      <c r="R26">
        <f>O26+33</f>
        <v>51.2</v>
      </c>
      <c r="S26">
        <v>28.940955367728893</v>
      </c>
      <c r="T26">
        <f t="shared" si="0"/>
        <v>28.940955367728893</v>
      </c>
    </row>
    <row r="27" spans="1:20" hidden="1" x14ac:dyDescent="0.25">
      <c r="A27" t="s">
        <v>170</v>
      </c>
      <c r="B27">
        <v>4</v>
      </c>
      <c r="C27">
        <v>7</v>
      </c>
      <c r="D27">
        <v>2</v>
      </c>
      <c r="E27">
        <v>3</v>
      </c>
      <c r="F27">
        <v>9</v>
      </c>
      <c r="G27">
        <v>11</v>
      </c>
      <c r="H27" t="s">
        <v>111</v>
      </c>
      <c r="I27" t="s">
        <v>112</v>
      </c>
      <c r="J27" t="s">
        <v>22</v>
      </c>
      <c r="K27" t="s">
        <v>113</v>
      </c>
      <c r="L27">
        <v>2025</v>
      </c>
      <c r="M27" t="s">
        <v>24</v>
      </c>
      <c r="N27">
        <v>1542.24</v>
      </c>
      <c r="O27">
        <v>14</v>
      </c>
      <c r="P27" s="3">
        <v>25.914011572548201</v>
      </c>
      <c r="Q27">
        <v>0.73336465971911036</v>
      </c>
      <c r="R27">
        <f>O27+40</f>
        <v>54</v>
      </c>
      <c r="S27">
        <v>28.764552845528456</v>
      </c>
      <c r="T27">
        <f t="shared" si="0"/>
        <v>28.764552845528456</v>
      </c>
    </row>
    <row r="28" spans="1:20" hidden="1" x14ac:dyDescent="0.25">
      <c r="A28" t="s">
        <v>160</v>
      </c>
      <c r="B28">
        <v>17</v>
      </c>
      <c r="C28">
        <v>34</v>
      </c>
      <c r="D28">
        <v>2</v>
      </c>
      <c r="E28">
        <v>2</v>
      </c>
      <c r="F28">
        <v>8</v>
      </c>
      <c r="G28">
        <v>9</v>
      </c>
      <c r="H28" t="s">
        <v>65</v>
      </c>
      <c r="I28" t="s">
        <v>66</v>
      </c>
      <c r="J28" t="s">
        <v>22</v>
      </c>
      <c r="K28" t="s">
        <v>67</v>
      </c>
      <c r="L28">
        <v>2025</v>
      </c>
      <c r="M28" t="s">
        <v>24</v>
      </c>
      <c r="N28">
        <v>1415.23</v>
      </c>
      <c r="O28">
        <v>13.4</v>
      </c>
      <c r="P28" s="3">
        <v>23.945789055929101</v>
      </c>
      <c r="Q28">
        <v>3.4076039984253761</v>
      </c>
      <c r="R28">
        <v>50.4</v>
      </c>
      <c r="S28">
        <v>28.478384841515641</v>
      </c>
      <c r="T28">
        <f t="shared" si="0"/>
        <v>28.478384841515641</v>
      </c>
    </row>
    <row r="29" spans="1:20" hidden="1" x14ac:dyDescent="0.25">
      <c r="A29" t="s">
        <v>243</v>
      </c>
      <c r="B29">
        <v>26</v>
      </c>
      <c r="C29">
        <v>4</v>
      </c>
      <c r="D29">
        <v>4</v>
      </c>
      <c r="E29">
        <v>4</v>
      </c>
      <c r="F29">
        <v>22</v>
      </c>
      <c r="G29">
        <v>9</v>
      </c>
      <c r="H29" t="s">
        <v>107</v>
      </c>
      <c r="I29" t="s">
        <v>108</v>
      </c>
      <c r="J29" t="s">
        <v>22</v>
      </c>
      <c r="K29" t="s">
        <v>109</v>
      </c>
      <c r="L29">
        <v>2025</v>
      </c>
      <c r="M29" t="s">
        <v>24</v>
      </c>
      <c r="N29">
        <v>1415.23</v>
      </c>
      <c r="O29">
        <v>13.4</v>
      </c>
      <c r="P29" s="3">
        <v>23.945789055929101</v>
      </c>
      <c r="Q29">
        <v>3.540498250657409</v>
      </c>
      <c r="R29">
        <v>50.4</v>
      </c>
      <c r="S29">
        <v>28.478384841515641</v>
      </c>
      <c r="T29">
        <f t="shared" si="0"/>
        <v>28.478384841515641</v>
      </c>
    </row>
    <row r="30" spans="1:20" hidden="1" x14ac:dyDescent="0.25">
      <c r="A30" t="s">
        <v>175</v>
      </c>
      <c r="B30">
        <v>10</v>
      </c>
      <c r="C30">
        <v>16</v>
      </c>
      <c r="D30">
        <v>2</v>
      </c>
      <c r="E30">
        <v>4</v>
      </c>
      <c r="F30">
        <v>10</v>
      </c>
      <c r="G30">
        <v>10</v>
      </c>
      <c r="H30" t="s">
        <v>73</v>
      </c>
      <c r="I30" t="s">
        <v>74</v>
      </c>
      <c r="J30" t="s">
        <v>22</v>
      </c>
      <c r="K30" t="s">
        <v>75</v>
      </c>
      <c r="L30">
        <v>2025</v>
      </c>
      <c r="M30" t="s">
        <v>24</v>
      </c>
      <c r="N30">
        <v>1288.22</v>
      </c>
      <c r="O30">
        <v>13.2</v>
      </c>
      <c r="P30" s="3">
        <v>21.847110073035999</v>
      </c>
      <c r="Q30">
        <v>2.3610601889120209</v>
      </c>
      <c r="R30">
        <f>O30+33</f>
        <v>46.2</v>
      </c>
      <c r="S30">
        <v>28.344497354497353</v>
      </c>
      <c r="T30">
        <f t="shared" si="0"/>
        <v>28.344497354497353</v>
      </c>
    </row>
    <row r="31" spans="1:20" hidden="1" x14ac:dyDescent="0.25">
      <c r="A31" t="s">
        <v>220</v>
      </c>
      <c r="B31">
        <v>19</v>
      </c>
      <c r="C31">
        <v>7</v>
      </c>
      <c r="D31">
        <v>3</v>
      </c>
      <c r="E31">
        <v>6</v>
      </c>
      <c r="F31">
        <v>18</v>
      </c>
      <c r="G31">
        <v>9</v>
      </c>
      <c r="H31" t="s">
        <v>111</v>
      </c>
      <c r="I31" t="s">
        <v>112</v>
      </c>
      <c r="J31" t="s">
        <v>22</v>
      </c>
      <c r="K31" t="s">
        <v>113</v>
      </c>
      <c r="L31">
        <v>2025</v>
      </c>
      <c r="M31" t="s">
        <v>24</v>
      </c>
      <c r="N31">
        <v>1406.16</v>
      </c>
      <c r="O31">
        <v>13.6</v>
      </c>
      <c r="P31" s="3">
        <v>23.737376400791</v>
      </c>
      <c r="Q31">
        <v>3.3305189894012761</v>
      </c>
      <c r="R31">
        <v>50.6</v>
      </c>
      <c r="S31">
        <v>28.11893955461294</v>
      </c>
      <c r="T31">
        <f t="shared" si="0"/>
        <v>28.11893955461294</v>
      </c>
    </row>
    <row r="32" spans="1:20" hidden="1" x14ac:dyDescent="0.25">
      <c r="A32" t="s">
        <v>219</v>
      </c>
      <c r="B32">
        <v>25</v>
      </c>
      <c r="C32">
        <v>22</v>
      </c>
      <c r="D32">
        <v>3</v>
      </c>
      <c r="E32">
        <v>6</v>
      </c>
      <c r="F32">
        <v>18</v>
      </c>
      <c r="G32">
        <v>8</v>
      </c>
      <c r="H32" t="s">
        <v>119</v>
      </c>
      <c r="I32" t="s">
        <v>120</v>
      </c>
      <c r="J32" t="s">
        <v>22</v>
      </c>
      <c r="K32" t="s">
        <v>121</v>
      </c>
      <c r="L32">
        <v>2025</v>
      </c>
      <c r="M32" t="s">
        <v>24</v>
      </c>
      <c r="N32">
        <v>1265.54</v>
      </c>
      <c r="O32">
        <v>13.6</v>
      </c>
      <c r="P32" s="3">
        <v>21.363571236742001</v>
      </c>
      <c r="Q32">
        <v>3.707808887260442</v>
      </c>
      <c r="R32">
        <v>45.6</v>
      </c>
      <c r="S32">
        <v>28.081852191454246</v>
      </c>
      <c r="T32">
        <f t="shared" si="0"/>
        <v>28.081852191454246</v>
      </c>
    </row>
    <row r="33" spans="1:20" hidden="1" x14ac:dyDescent="0.25">
      <c r="A33" t="s">
        <v>165</v>
      </c>
      <c r="B33">
        <v>21</v>
      </c>
      <c r="C33">
        <v>27</v>
      </c>
      <c r="D33">
        <v>2</v>
      </c>
      <c r="E33">
        <v>3</v>
      </c>
      <c r="F33">
        <v>9</v>
      </c>
      <c r="G33">
        <v>8</v>
      </c>
      <c r="H33" t="s">
        <v>42</v>
      </c>
      <c r="I33" t="s">
        <v>43</v>
      </c>
      <c r="J33" t="s">
        <v>22</v>
      </c>
      <c r="K33" t="s">
        <v>44</v>
      </c>
      <c r="L33">
        <v>2025</v>
      </c>
      <c r="M33" t="s">
        <v>24</v>
      </c>
      <c r="N33">
        <v>1383.48</v>
      </c>
      <c r="O33">
        <v>13.2</v>
      </c>
      <c r="P33" s="3">
        <v>23.462638248004101</v>
      </c>
      <c r="Q33">
        <v>3.3309418619589808</v>
      </c>
      <c r="R33">
        <v>50.2</v>
      </c>
      <c r="S33">
        <v>28.014950927995333</v>
      </c>
      <c r="T33">
        <f t="shared" si="0"/>
        <v>28.014950927995333</v>
      </c>
    </row>
    <row r="34" spans="1:20" hidden="1" x14ac:dyDescent="0.25">
      <c r="A34" t="s">
        <v>238</v>
      </c>
      <c r="B34">
        <v>21</v>
      </c>
      <c r="C34">
        <v>31</v>
      </c>
      <c r="D34">
        <v>4</v>
      </c>
      <c r="E34">
        <v>3</v>
      </c>
      <c r="F34">
        <v>21</v>
      </c>
      <c r="G34">
        <v>9</v>
      </c>
      <c r="H34" t="s">
        <v>100</v>
      </c>
      <c r="I34" t="s">
        <v>101</v>
      </c>
      <c r="J34" t="s">
        <v>22</v>
      </c>
      <c r="K34" t="s">
        <v>102</v>
      </c>
      <c r="L34">
        <v>2025</v>
      </c>
      <c r="M34" t="s">
        <v>24</v>
      </c>
      <c r="N34">
        <v>1401.62</v>
      </c>
      <c r="O34">
        <v>13.9</v>
      </c>
      <c r="P34" s="3">
        <v>23.578581359136901</v>
      </c>
      <c r="Q34">
        <v>3.344722525975901</v>
      </c>
      <c r="R34">
        <v>50.9</v>
      </c>
      <c r="S34">
        <v>27.766211525867703</v>
      </c>
      <c r="T34">
        <f t="shared" ref="T34:T65" si="1">IF(N34&lt;= 0, -9, N34/ 453.6 / (R34/ 43560) * ((100 - O34) / (100 - 18)) / 100)</f>
        <v>27.766211525867703</v>
      </c>
    </row>
    <row r="35" spans="1:20" hidden="1" x14ac:dyDescent="0.25">
      <c r="A35" t="s">
        <v>193</v>
      </c>
      <c r="B35">
        <v>11</v>
      </c>
      <c r="C35">
        <v>10</v>
      </c>
      <c r="D35">
        <v>3</v>
      </c>
      <c r="E35">
        <v>1</v>
      </c>
      <c r="F35">
        <v>13</v>
      </c>
      <c r="G35">
        <v>11</v>
      </c>
      <c r="H35" t="s">
        <v>46</v>
      </c>
      <c r="I35" t="s">
        <v>47</v>
      </c>
      <c r="J35" t="s">
        <v>22</v>
      </c>
      <c r="K35" t="s">
        <v>48</v>
      </c>
      <c r="L35">
        <v>2025</v>
      </c>
      <c r="M35" t="s">
        <v>24</v>
      </c>
      <c r="N35">
        <v>1283.69</v>
      </c>
      <c r="O35">
        <v>13.8</v>
      </c>
      <c r="P35" s="3">
        <v>21.619799303110099</v>
      </c>
      <c r="Q35">
        <v>2.1492333748459851</v>
      </c>
      <c r="R35">
        <f>O35+33</f>
        <v>46.8</v>
      </c>
      <c r="S35">
        <v>27.689973722829414</v>
      </c>
      <c r="T35">
        <f t="shared" si="1"/>
        <v>27.689973722829414</v>
      </c>
    </row>
    <row r="36" spans="1:20" hidden="1" x14ac:dyDescent="0.25">
      <c r="A36" t="s">
        <v>138</v>
      </c>
      <c r="B36">
        <v>8</v>
      </c>
      <c r="C36">
        <v>15</v>
      </c>
      <c r="D36">
        <v>1</v>
      </c>
      <c r="E36">
        <v>6</v>
      </c>
      <c r="F36">
        <v>6</v>
      </c>
      <c r="G36">
        <v>10</v>
      </c>
      <c r="H36" t="s">
        <v>139</v>
      </c>
      <c r="I36" t="s">
        <v>140</v>
      </c>
      <c r="J36" t="s">
        <v>22</v>
      </c>
      <c r="K36" t="s">
        <v>141</v>
      </c>
      <c r="L36">
        <v>2025</v>
      </c>
      <c r="M36" t="s">
        <v>24</v>
      </c>
      <c r="N36">
        <v>1256.47</v>
      </c>
      <c r="O36">
        <v>13.2</v>
      </c>
      <c r="P36" s="3">
        <v>21.308657211864102</v>
      </c>
      <c r="Q36">
        <v>1.951333569560622</v>
      </c>
      <c r="R36">
        <f>O36+33</f>
        <v>46.2</v>
      </c>
      <c r="S36">
        <v>27.645907213834043</v>
      </c>
      <c r="T36">
        <f t="shared" si="1"/>
        <v>27.645907213834043</v>
      </c>
    </row>
    <row r="37" spans="1:20" hidden="1" x14ac:dyDescent="0.25">
      <c r="A37" t="s">
        <v>146</v>
      </c>
      <c r="B37">
        <v>13</v>
      </c>
      <c r="C37">
        <v>23</v>
      </c>
      <c r="D37">
        <v>1</v>
      </c>
      <c r="E37">
        <v>6</v>
      </c>
      <c r="F37">
        <v>6</v>
      </c>
      <c r="G37">
        <v>12</v>
      </c>
      <c r="H37" t="s">
        <v>147</v>
      </c>
      <c r="I37" t="s">
        <v>148</v>
      </c>
      <c r="J37" t="s">
        <v>22</v>
      </c>
      <c r="K37" t="s">
        <v>149</v>
      </c>
      <c r="L37">
        <v>2025</v>
      </c>
      <c r="M37" t="s">
        <v>24</v>
      </c>
      <c r="N37">
        <v>1555.85</v>
      </c>
      <c r="O37">
        <v>17.8</v>
      </c>
      <c r="P37" s="3">
        <v>24.9875557419595</v>
      </c>
      <c r="Q37">
        <v>2.9584202431305209</v>
      </c>
      <c r="R37">
        <v>54.8</v>
      </c>
      <c r="S37">
        <v>27.331279036004648</v>
      </c>
      <c r="T37">
        <f t="shared" si="1"/>
        <v>27.331279036004648</v>
      </c>
    </row>
    <row r="38" spans="1:20" hidden="1" x14ac:dyDescent="0.25">
      <c r="A38" t="s">
        <v>122</v>
      </c>
      <c r="B38">
        <v>11</v>
      </c>
      <c r="C38">
        <v>24</v>
      </c>
      <c r="D38">
        <v>1</v>
      </c>
      <c r="E38">
        <v>5</v>
      </c>
      <c r="F38">
        <v>5</v>
      </c>
      <c r="G38">
        <v>12</v>
      </c>
      <c r="H38" t="s">
        <v>123</v>
      </c>
      <c r="I38" t="s">
        <v>124</v>
      </c>
      <c r="J38" t="s">
        <v>22</v>
      </c>
      <c r="K38" t="s">
        <v>125</v>
      </c>
      <c r="L38">
        <v>2025</v>
      </c>
      <c r="M38" t="s">
        <v>24</v>
      </c>
      <c r="N38">
        <v>1460.59</v>
      </c>
      <c r="O38">
        <v>18.2</v>
      </c>
      <c r="P38" s="3">
        <v>23.343494000517499</v>
      </c>
      <c r="Q38">
        <v>2.384516317569958</v>
      </c>
      <c r="R38">
        <f>O38+33</f>
        <v>51.2</v>
      </c>
      <c r="S38">
        <v>27.328301374824573</v>
      </c>
      <c r="T38">
        <f t="shared" si="1"/>
        <v>27.328301374824573</v>
      </c>
    </row>
    <row r="39" spans="1:20" hidden="1" x14ac:dyDescent="0.25">
      <c r="A39" t="s">
        <v>195</v>
      </c>
      <c r="B39">
        <v>19</v>
      </c>
      <c r="C39">
        <v>35</v>
      </c>
      <c r="D39">
        <v>3</v>
      </c>
      <c r="E39">
        <v>2</v>
      </c>
      <c r="F39">
        <v>14</v>
      </c>
      <c r="G39">
        <v>8</v>
      </c>
      <c r="H39" t="s">
        <v>20</v>
      </c>
      <c r="I39" t="s">
        <v>21</v>
      </c>
      <c r="J39" t="s">
        <v>22</v>
      </c>
      <c r="K39" t="s">
        <v>23</v>
      </c>
      <c r="L39">
        <v>2025</v>
      </c>
      <c r="M39" t="s">
        <v>24</v>
      </c>
      <c r="N39">
        <v>1315.44</v>
      </c>
      <c r="O39">
        <v>12.4</v>
      </c>
      <c r="P39" s="3">
        <v>22.514348494836302</v>
      </c>
      <c r="Q39">
        <v>3.6196210021889121</v>
      </c>
      <c r="R39">
        <v>49.4</v>
      </c>
      <c r="S39">
        <v>27.318017181791248</v>
      </c>
      <c r="T39">
        <f t="shared" si="1"/>
        <v>27.318017181791248</v>
      </c>
    </row>
    <row r="40" spans="1:20" hidden="1" x14ac:dyDescent="0.25">
      <c r="A40" t="s">
        <v>72</v>
      </c>
      <c r="B40">
        <v>1</v>
      </c>
      <c r="C40">
        <v>16</v>
      </c>
      <c r="D40">
        <v>1</v>
      </c>
      <c r="E40">
        <v>3</v>
      </c>
      <c r="F40">
        <v>3</v>
      </c>
      <c r="G40">
        <v>10</v>
      </c>
      <c r="H40" t="s">
        <v>73</v>
      </c>
      <c r="I40" t="s">
        <v>74</v>
      </c>
      <c r="J40" t="s">
        <v>22</v>
      </c>
      <c r="K40" t="s">
        <v>75</v>
      </c>
      <c r="L40">
        <v>2025</v>
      </c>
      <c r="M40" t="s">
        <v>24</v>
      </c>
      <c r="N40">
        <v>1490.31</v>
      </c>
      <c r="O40">
        <v>14.75</v>
      </c>
      <c r="P40" s="3">
        <v>24.8230554523746</v>
      </c>
      <c r="Q40">
        <v>0.27388247237010982</v>
      </c>
      <c r="R40">
        <f>O40+40</f>
        <v>54.75</v>
      </c>
      <c r="S40">
        <v>27.176145092517459</v>
      </c>
      <c r="T40">
        <f t="shared" si="1"/>
        <v>27.176145092517459</v>
      </c>
    </row>
    <row r="41" spans="1:20" hidden="1" x14ac:dyDescent="0.25">
      <c r="A41" t="s">
        <v>210</v>
      </c>
      <c r="B41">
        <v>29</v>
      </c>
      <c r="C41">
        <v>34</v>
      </c>
      <c r="D41">
        <v>3</v>
      </c>
      <c r="E41">
        <v>4</v>
      </c>
      <c r="F41">
        <v>16</v>
      </c>
      <c r="G41">
        <v>11</v>
      </c>
      <c r="H41" t="s">
        <v>65</v>
      </c>
      <c r="I41" t="s">
        <v>66</v>
      </c>
      <c r="J41" t="s">
        <v>22</v>
      </c>
      <c r="K41" t="s">
        <v>67</v>
      </c>
      <c r="L41">
        <v>2025</v>
      </c>
      <c r="M41" t="s">
        <v>24</v>
      </c>
      <c r="N41">
        <v>1365.34</v>
      </c>
      <c r="O41">
        <v>13.8</v>
      </c>
      <c r="P41" s="3">
        <v>22.994941754246199</v>
      </c>
      <c r="Q41">
        <v>3.393385904648659</v>
      </c>
      <c r="R41">
        <v>50.8</v>
      </c>
      <c r="S41">
        <v>27.132220644675517</v>
      </c>
      <c r="T41">
        <f t="shared" si="1"/>
        <v>27.132220644675517</v>
      </c>
    </row>
    <row r="42" spans="1:20" hidden="1" x14ac:dyDescent="0.25">
      <c r="A42" t="s">
        <v>159</v>
      </c>
      <c r="B42">
        <v>8</v>
      </c>
      <c r="C42">
        <v>33</v>
      </c>
      <c r="D42">
        <v>2</v>
      </c>
      <c r="E42">
        <v>2</v>
      </c>
      <c r="F42">
        <v>8</v>
      </c>
      <c r="G42">
        <v>8</v>
      </c>
      <c r="H42" t="s">
        <v>151</v>
      </c>
      <c r="I42" t="s">
        <v>66</v>
      </c>
      <c r="J42" t="s">
        <v>22</v>
      </c>
      <c r="K42" t="s">
        <v>152</v>
      </c>
      <c r="L42">
        <v>2025</v>
      </c>
      <c r="M42" t="s">
        <v>24</v>
      </c>
      <c r="N42">
        <v>1397.09</v>
      </c>
      <c r="O42">
        <v>13.3</v>
      </c>
      <c r="P42" s="3">
        <v>23.666155610701701</v>
      </c>
      <c r="Q42">
        <v>1.6394599400142871</v>
      </c>
      <c r="R42">
        <f>O42+39</f>
        <v>52.3</v>
      </c>
      <c r="S42">
        <v>27.12331486243707</v>
      </c>
      <c r="T42">
        <f t="shared" si="1"/>
        <v>27.12331486243707</v>
      </c>
    </row>
    <row r="43" spans="1:20" hidden="1" x14ac:dyDescent="0.25">
      <c r="A43" t="s">
        <v>157</v>
      </c>
      <c r="B43">
        <v>28</v>
      </c>
      <c r="C43">
        <v>14</v>
      </c>
      <c r="D43">
        <v>2</v>
      </c>
      <c r="E43">
        <v>1</v>
      </c>
      <c r="F43">
        <v>7</v>
      </c>
      <c r="G43">
        <v>12</v>
      </c>
      <c r="H43" t="s">
        <v>127</v>
      </c>
      <c r="I43" t="s">
        <v>128</v>
      </c>
      <c r="J43" t="s">
        <v>22</v>
      </c>
      <c r="K43" t="s">
        <v>129</v>
      </c>
      <c r="L43">
        <v>2025</v>
      </c>
      <c r="M43" t="s">
        <v>24</v>
      </c>
      <c r="N43">
        <v>1261.01</v>
      </c>
      <c r="O43">
        <v>17.8</v>
      </c>
      <c r="P43" s="3">
        <v>20.252310740860899</v>
      </c>
      <c r="Q43">
        <v>4.1877729289651171</v>
      </c>
      <c r="R43">
        <v>44.8</v>
      </c>
      <c r="S43">
        <v>27.096506826053592</v>
      </c>
      <c r="T43">
        <f t="shared" si="1"/>
        <v>27.096506826053592</v>
      </c>
    </row>
    <row r="44" spans="1:20" hidden="1" x14ac:dyDescent="0.25">
      <c r="A44" t="s">
        <v>95</v>
      </c>
      <c r="B44">
        <v>14</v>
      </c>
      <c r="C44">
        <v>17</v>
      </c>
      <c r="D44">
        <v>1</v>
      </c>
      <c r="E44">
        <v>4</v>
      </c>
      <c r="F44">
        <v>4</v>
      </c>
      <c r="G44">
        <v>11</v>
      </c>
      <c r="H44" t="s">
        <v>96</v>
      </c>
      <c r="I44" t="s">
        <v>97</v>
      </c>
      <c r="J44" t="s">
        <v>22</v>
      </c>
      <c r="K44" t="s">
        <v>98</v>
      </c>
      <c r="L44">
        <v>2025</v>
      </c>
      <c r="M44" t="s">
        <v>24</v>
      </c>
      <c r="N44">
        <v>1242.8599999999999</v>
      </c>
      <c r="O44">
        <v>13.61</v>
      </c>
      <c r="P44" s="3">
        <v>20.978282004097299</v>
      </c>
      <c r="Q44">
        <v>2.3288576166840129</v>
      </c>
      <c r="R44">
        <f>O44+33</f>
        <v>46.61</v>
      </c>
      <c r="S44">
        <v>26.97786361994401</v>
      </c>
      <c r="T44">
        <f t="shared" si="1"/>
        <v>26.97786361994401</v>
      </c>
    </row>
    <row r="45" spans="1:20" hidden="1" x14ac:dyDescent="0.25">
      <c r="A45" t="s">
        <v>154</v>
      </c>
      <c r="B45">
        <v>24</v>
      </c>
      <c r="C45">
        <v>8</v>
      </c>
      <c r="D45">
        <v>2</v>
      </c>
      <c r="E45">
        <v>1</v>
      </c>
      <c r="F45">
        <v>7</v>
      </c>
      <c r="G45">
        <v>9</v>
      </c>
      <c r="H45" t="s">
        <v>34</v>
      </c>
      <c r="I45" t="s">
        <v>35</v>
      </c>
      <c r="J45" t="s">
        <v>22</v>
      </c>
      <c r="K45" t="s">
        <v>36</v>
      </c>
      <c r="L45">
        <v>2025</v>
      </c>
      <c r="M45" t="s">
        <v>24</v>
      </c>
      <c r="N45">
        <v>1347.19</v>
      </c>
      <c r="O45">
        <v>13.6</v>
      </c>
      <c r="P45" s="3">
        <v>22.741904273611599</v>
      </c>
      <c r="Q45">
        <v>3.4373006410367499</v>
      </c>
      <c r="R45">
        <v>50.6</v>
      </c>
      <c r="S45">
        <v>26.939718224511434</v>
      </c>
      <c r="T45">
        <f t="shared" si="1"/>
        <v>26.939718224511434</v>
      </c>
    </row>
    <row r="46" spans="1:20" hidden="1" x14ac:dyDescent="0.25">
      <c r="A46" t="s">
        <v>222</v>
      </c>
      <c r="B46">
        <v>17</v>
      </c>
      <c r="C46">
        <v>4</v>
      </c>
      <c r="D46">
        <v>3</v>
      </c>
      <c r="E46">
        <v>6</v>
      </c>
      <c r="F46">
        <v>18</v>
      </c>
      <c r="G46">
        <v>11</v>
      </c>
      <c r="H46" t="s">
        <v>107</v>
      </c>
      <c r="I46" t="s">
        <v>108</v>
      </c>
      <c r="J46" t="s">
        <v>22</v>
      </c>
      <c r="K46" t="s">
        <v>109</v>
      </c>
      <c r="L46">
        <v>2025</v>
      </c>
      <c r="M46" t="s">
        <v>24</v>
      </c>
      <c r="N46">
        <v>1378.94</v>
      </c>
      <c r="O46">
        <v>14.4</v>
      </c>
      <c r="P46" s="3">
        <v>23.062339898292901</v>
      </c>
      <c r="Q46">
        <v>2.7882553747244012</v>
      </c>
      <c r="R46">
        <v>51.4</v>
      </c>
      <c r="S46">
        <v>26.894098317192185</v>
      </c>
      <c r="T46">
        <f t="shared" si="1"/>
        <v>26.894098317192185</v>
      </c>
    </row>
    <row r="47" spans="1:20" hidden="1" x14ac:dyDescent="0.25">
      <c r="A47" t="s">
        <v>162</v>
      </c>
      <c r="B47">
        <v>20</v>
      </c>
      <c r="C47">
        <v>5</v>
      </c>
      <c r="D47">
        <v>2</v>
      </c>
      <c r="E47">
        <v>2</v>
      </c>
      <c r="F47">
        <v>8</v>
      </c>
      <c r="G47">
        <v>11</v>
      </c>
      <c r="H47" t="s">
        <v>26</v>
      </c>
      <c r="I47" t="s">
        <v>27</v>
      </c>
      <c r="J47" t="s">
        <v>22</v>
      </c>
      <c r="K47" t="s">
        <v>28</v>
      </c>
      <c r="L47">
        <v>2025</v>
      </c>
      <c r="M47" t="s">
        <v>24</v>
      </c>
      <c r="N47">
        <v>1315.44</v>
      </c>
      <c r="O47">
        <v>13</v>
      </c>
      <c r="P47" s="3">
        <v>22.3601406284333</v>
      </c>
      <c r="Q47">
        <v>3.3357484506401689</v>
      </c>
      <c r="R47">
        <v>50</v>
      </c>
      <c r="S47">
        <v>26.805336585365854</v>
      </c>
      <c r="T47">
        <f t="shared" si="1"/>
        <v>26.805336585365854</v>
      </c>
    </row>
    <row r="48" spans="1:20" hidden="1" x14ac:dyDescent="0.25">
      <c r="A48" t="s">
        <v>244</v>
      </c>
      <c r="B48">
        <v>18</v>
      </c>
      <c r="C48">
        <v>13</v>
      </c>
      <c r="D48">
        <v>4</v>
      </c>
      <c r="E48">
        <v>4</v>
      </c>
      <c r="F48">
        <v>22</v>
      </c>
      <c r="G48">
        <v>10</v>
      </c>
      <c r="H48" t="s">
        <v>80</v>
      </c>
      <c r="I48" t="s">
        <v>81</v>
      </c>
      <c r="J48" t="s">
        <v>22</v>
      </c>
      <c r="K48" t="s">
        <v>82</v>
      </c>
      <c r="L48">
        <v>2025</v>
      </c>
      <c r="M48" t="s">
        <v>24</v>
      </c>
      <c r="N48">
        <v>1319.98</v>
      </c>
      <c r="O48">
        <v>13.2</v>
      </c>
      <c r="P48" s="3">
        <v>22.385732525660298</v>
      </c>
      <c r="Q48">
        <v>2.9322723774591939</v>
      </c>
      <c r="R48">
        <v>50.2</v>
      </c>
      <c r="S48">
        <v>26.729099752750518</v>
      </c>
      <c r="T48">
        <f t="shared" si="1"/>
        <v>26.729099752750518</v>
      </c>
    </row>
    <row r="49" spans="1:20" hidden="1" x14ac:dyDescent="0.25">
      <c r="A49" t="s">
        <v>212</v>
      </c>
      <c r="B49">
        <v>12</v>
      </c>
      <c r="C49">
        <v>11</v>
      </c>
      <c r="D49">
        <v>3</v>
      </c>
      <c r="E49">
        <v>4</v>
      </c>
      <c r="F49">
        <v>16</v>
      </c>
      <c r="G49">
        <v>13</v>
      </c>
      <c r="H49" t="s">
        <v>69</v>
      </c>
      <c r="I49" t="s">
        <v>70</v>
      </c>
      <c r="J49" t="s">
        <v>22</v>
      </c>
      <c r="K49" t="s">
        <v>71</v>
      </c>
      <c r="L49">
        <v>2025</v>
      </c>
      <c r="M49" t="s">
        <v>24</v>
      </c>
      <c r="N49">
        <v>1310.9</v>
      </c>
      <c r="O49">
        <v>17.5</v>
      </c>
      <c r="P49" s="3">
        <v>21.130401355672401</v>
      </c>
      <c r="Q49">
        <v>2.519829838130339</v>
      </c>
      <c r="R49">
        <f>O49+30</f>
        <v>47.5</v>
      </c>
      <c r="S49">
        <v>26.664342258084233</v>
      </c>
      <c r="T49">
        <f t="shared" si="1"/>
        <v>26.664342258084233</v>
      </c>
    </row>
    <row r="50" spans="1:20" hidden="1" x14ac:dyDescent="0.25">
      <c r="A50" t="s">
        <v>173</v>
      </c>
      <c r="B50">
        <v>15</v>
      </c>
      <c r="C50">
        <v>30</v>
      </c>
      <c r="D50">
        <v>2</v>
      </c>
      <c r="E50">
        <v>4</v>
      </c>
      <c r="F50">
        <v>10</v>
      </c>
      <c r="G50">
        <v>8</v>
      </c>
      <c r="H50" t="s">
        <v>30</v>
      </c>
      <c r="I50" t="s">
        <v>31</v>
      </c>
      <c r="J50" t="s">
        <v>22</v>
      </c>
      <c r="K50" t="s">
        <v>32</v>
      </c>
      <c r="L50">
        <v>2025</v>
      </c>
      <c r="M50" t="s">
        <v>24</v>
      </c>
      <c r="N50">
        <v>1329.05</v>
      </c>
      <c r="O50">
        <v>13.5</v>
      </c>
      <c r="P50" s="3">
        <v>22.461650295604699</v>
      </c>
      <c r="Q50">
        <v>3.001685129453072</v>
      </c>
      <c r="R50">
        <v>50.5</v>
      </c>
      <c r="S50">
        <v>26.660422152842461</v>
      </c>
      <c r="T50">
        <f t="shared" si="1"/>
        <v>26.660422152842461</v>
      </c>
    </row>
    <row r="51" spans="1:20" hidden="1" x14ac:dyDescent="0.25">
      <c r="A51" t="s">
        <v>83</v>
      </c>
      <c r="B51">
        <v>16</v>
      </c>
      <c r="C51">
        <v>12</v>
      </c>
      <c r="D51">
        <v>1</v>
      </c>
      <c r="E51">
        <v>4</v>
      </c>
      <c r="F51">
        <v>4</v>
      </c>
      <c r="G51">
        <v>8</v>
      </c>
      <c r="H51" t="s">
        <v>84</v>
      </c>
      <c r="I51" t="s">
        <v>85</v>
      </c>
      <c r="J51" t="s">
        <v>22</v>
      </c>
      <c r="K51" t="s">
        <v>86</v>
      </c>
      <c r="L51">
        <v>2025</v>
      </c>
      <c r="M51" t="s">
        <v>24</v>
      </c>
      <c r="N51">
        <v>1329.05</v>
      </c>
      <c r="O51">
        <v>13.8</v>
      </c>
      <c r="P51" s="3">
        <v>22.383748618278901</v>
      </c>
      <c r="Q51">
        <v>2.9960819033056652</v>
      </c>
      <c r="R51">
        <v>50.8</v>
      </c>
      <c r="S51">
        <v>26.411060869677872</v>
      </c>
      <c r="T51">
        <f t="shared" si="1"/>
        <v>26.411060869677872</v>
      </c>
    </row>
    <row r="52" spans="1:20" hidden="1" x14ac:dyDescent="0.25">
      <c r="A52" t="s">
        <v>225</v>
      </c>
      <c r="B52">
        <v>23</v>
      </c>
      <c r="C52">
        <v>30</v>
      </c>
      <c r="D52">
        <v>4</v>
      </c>
      <c r="E52">
        <v>1</v>
      </c>
      <c r="F52">
        <v>19</v>
      </c>
      <c r="G52">
        <v>8</v>
      </c>
      <c r="H52" t="s">
        <v>30</v>
      </c>
      <c r="I52" t="s">
        <v>31</v>
      </c>
      <c r="J52" t="s">
        <v>22</v>
      </c>
      <c r="K52" t="s">
        <v>32</v>
      </c>
      <c r="L52">
        <v>2025</v>
      </c>
      <c r="M52" t="s">
        <v>24</v>
      </c>
      <c r="N52">
        <v>1038.74</v>
      </c>
      <c r="O52">
        <v>13.2</v>
      </c>
      <c r="P52" s="3">
        <v>17.616142520117201</v>
      </c>
      <c r="Q52">
        <v>4.1312686157743546</v>
      </c>
      <c r="R52">
        <v>40.200000000000003</v>
      </c>
      <c r="S52">
        <v>26.266457279995684</v>
      </c>
      <c r="T52">
        <f t="shared" si="1"/>
        <v>26.266457279995684</v>
      </c>
    </row>
    <row r="53" spans="1:20" hidden="1" x14ac:dyDescent="0.25">
      <c r="A53" t="s">
        <v>230</v>
      </c>
      <c r="B53">
        <v>13</v>
      </c>
      <c r="C53">
        <v>23</v>
      </c>
      <c r="D53">
        <v>4</v>
      </c>
      <c r="E53">
        <v>1</v>
      </c>
      <c r="F53">
        <v>19</v>
      </c>
      <c r="G53">
        <v>13</v>
      </c>
      <c r="H53" t="s">
        <v>147</v>
      </c>
      <c r="I53" t="s">
        <v>148</v>
      </c>
      <c r="J53" t="s">
        <v>22</v>
      </c>
      <c r="K53" t="s">
        <v>149</v>
      </c>
      <c r="L53">
        <v>2025</v>
      </c>
      <c r="M53" t="s">
        <v>24</v>
      </c>
      <c r="N53">
        <v>1263.77</v>
      </c>
      <c r="O53">
        <v>16.899999999999999</v>
      </c>
      <c r="P53" s="3">
        <v>20.5188633707265</v>
      </c>
      <c r="Q53">
        <v>2.5930788695507418</v>
      </c>
      <c r="R53">
        <f>O53+30</f>
        <v>46.9</v>
      </c>
      <c r="S53">
        <v>26.223894892139597</v>
      </c>
      <c r="T53">
        <f t="shared" si="1"/>
        <v>26.223894892139597</v>
      </c>
    </row>
    <row r="54" spans="1:20" hidden="1" x14ac:dyDescent="0.25">
      <c r="A54" t="s">
        <v>216</v>
      </c>
      <c r="B54">
        <v>21</v>
      </c>
      <c r="C54">
        <v>6</v>
      </c>
      <c r="D54">
        <v>3</v>
      </c>
      <c r="E54">
        <v>5</v>
      </c>
      <c r="F54">
        <v>17</v>
      </c>
      <c r="G54">
        <v>11</v>
      </c>
      <c r="H54" t="s">
        <v>143</v>
      </c>
      <c r="I54" t="s">
        <v>144</v>
      </c>
      <c r="J54" t="s">
        <v>22</v>
      </c>
      <c r="K54" t="s">
        <v>145</v>
      </c>
      <c r="L54">
        <v>2025</v>
      </c>
      <c r="M54" t="s">
        <v>24</v>
      </c>
      <c r="N54">
        <v>1329.05</v>
      </c>
      <c r="O54">
        <v>14.1</v>
      </c>
      <c r="P54" s="3">
        <v>22.305846940953099</v>
      </c>
      <c r="Q54">
        <v>3.3417477473475699</v>
      </c>
      <c r="R54">
        <v>51.1</v>
      </c>
      <c r="S54">
        <v>26.164627507646333</v>
      </c>
      <c r="T54">
        <f t="shared" si="1"/>
        <v>26.164627507646333</v>
      </c>
    </row>
    <row r="55" spans="1:20" hidden="1" x14ac:dyDescent="0.25">
      <c r="A55" t="s">
        <v>190</v>
      </c>
      <c r="B55">
        <v>11</v>
      </c>
      <c r="C55">
        <v>21</v>
      </c>
      <c r="D55">
        <v>3</v>
      </c>
      <c r="E55">
        <v>1</v>
      </c>
      <c r="F55">
        <v>13</v>
      </c>
      <c r="G55">
        <v>8</v>
      </c>
      <c r="H55" t="s">
        <v>54</v>
      </c>
      <c r="I55" t="s">
        <v>55</v>
      </c>
      <c r="J55" t="s">
        <v>22</v>
      </c>
      <c r="K55" t="s">
        <v>56</v>
      </c>
      <c r="L55">
        <v>2025</v>
      </c>
      <c r="M55" t="s">
        <v>24</v>
      </c>
      <c r="N55">
        <v>1310.9</v>
      </c>
      <c r="O55">
        <v>13.8</v>
      </c>
      <c r="P55" s="3">
        <v>22.078067840714599</v>
      </c>
      <c r="Q55">
        <v>2.6007303381841842</v>
      </c>
      <c r="R55">
        <v>50.8</v>
      </c>
      <c r="S55">
        <v>26.050381621504631</v>
      </c>
      <c r="T55">
        <f t="shared" si="1"/>
        <v>26.050381621504631</v>
      </c>
    </row>
    <row r="56" spans="1:20" hidden="1" x14ac:dyDescent="0.25">
      <c r="A56" t="s">
        <v>167</v>
      </c>
      <c r="B56">
        <v>5</v>
      </c>
      <c r="C56">
        <v>32</v>
      </c>
      <c r="D56">
        <v>2</v>
      </c>
      <c r="E56">
        <v>3</v>
      </c>
      <c r="F56">
        <v>9</v>
      </c>
      <c r="G56">
        <v>10</v>
      </c>
      <c r="H56" t="s">
        <v>168</v>
      </c>
      <c r="I56" t="s">
        <v>148</v>
      </c>
      <c r="J56" t="s">
        <v>22</v>
      </c>
      <c r="K56" t="s">
        <v>169</v>
      </c>
      <c r="L56">
        <v>2025</v>
      </c>
      <c r="M56" t="s">
        <v>24</v>
      </c>
      <c r="N56">
        <v>1378.94</v>
      </c>
      <c r="O56">
        <v>13.6</v>
      </c>
      <c r="P56" s="3">
        <v>23.277875785192901</v>
      </c>
      <c r="Q56">
        <v>1.164015293763089</v>
      </c>
      <c r="R56">
        <f>O56+40</f>
        <v>53.6</v>
      </c>
      <c r="S56">
        <v>26.031266316501117</v>
      </c>
      <c r="T56">
        <f t="shared" si="1"/>
        <v>26.031266316501117</v>
      </c>
    </row>
    <row r="57" spans="1:20" hidden="1" x14ac:dyDescent="0.25">
      <c r="A57" t="s">
        <v>202</v>
      </c>
      <c r="B57">
        <v>7</v>
      </c>
      <c r="C57">
        <v>20</v>
      </c>
      <c r="D57">
        <v>3</v>
      </c>
      <c r="E57">
        <v>3</v>
      </c>
      <c r="F57">
        <v>15</v>
      </c>
      <c r="G57">
        <v>9</v>
      </c>
      <c r="H57" t="s">
        <v>92</v>
      </c>
      <c r="I57" t="s">
        <v>93</v>
      </c>
      <c r="J57" t="s">
        <v>22</v>
      </c>
      <c r="K57" t="s">
        <v>94</v>
      </c>
      <c r="L57">
        <v>2025</v>
      </c>
      <c r="M57" t="s">
        <v>24</v>
      </c>
      <c r="N57">
        <v>1301.83</v>
      </c>
      <c r="O57">
        <v>13.7</v>
      </c>
      <c r="P57" s="3">
        <v>21.950747057872199</v>
      </c>
      <c r="Q57">
        <v>1.888413349073061</v>
      </c>
      <c r="R57">
        <f>O57+37</f>
        <v>50.7</v>
      </c>
      <c r="S57">
        <v>25.95123823765006</v>
      </c>
      <c r="T57">
        <f t="shared" si="1"/>
        <v>25.95123823765006</v>
      </c>
    </row>
    <row r="58" spans="1:20" hidden="1" x14ac:dyDescent="0.25">
      <c r="A58" t="s">
        <v>37</v>
      </c>
      <c r="B58">
        <v>12</v>
      </c>
      <c r="C58">
        <v>1</v>
      </c>
      <c r="D58">
        <v>1</v>
      </c>
      <c r="E58">
        <v>1</v>
      </c>
      <c r="F58">
        <v>1</v>
      </c>
      <c r="G58">
        <v>12</v>
      </c>
      <c r="H58" t="s">
        <v>38</v>
      </c>
      <c r="I58" t="s">
        <v>39</v>
      </c>
      <c r="J58" t="s">
        <v>22</v>
      </c>
      <c r="K58" t="s">
        <v>40</v>
      </c>
      <c r="L58">
        <v>2025</v>
      </c>
      <c r="M58" t="s">
        <v>24</v>
      </c>
      <c r="N58">
        <v>1262.83</v>
      </c>
      <c r="O58">
        <v>17.3</v>
      </c>
      <c r="P58" s="3">
        <v>20.404907683848499</v>
      </c>
      <c r="Q58">
        <v>2.598497820896843</v>
      </c>
      <c r="R58">
        <f>O58+30</f>
        <v>47.3</v>
      </c>
      <c r="S58">
        <v>25.857720223464693</v>
      </c>
      <c r="T58">
        <f t="shared" si="1"/>
        <v>25.857720223464693</v>
      </c>
    </row>
    <row r="59" spans="1:20" hidden="1" x14ac:dyDescent="0.25">
      <c r="A59" t="s">
        <v>256</v>
      </c>
      <c r="B59">
        <v>7</v>
      </c>
      <c r="C59">
        <v>8</v>
      </c>
      <c r="D59">
        <v>4</v>
      </c>
      <c r="E59">
        <v>6</v>
      </c>
      <c r="F59">
        <v>24</v>
      </c>
      <c r="G59">
        <v>10</v>
      </c>
      <c r="H59" t="s">
        <v>34</v>
      </c>
      <c r="I59" t="s">
        <v>35</v>
      </c>
      <c r="J59" t="s">
        <v>22</v>
      </c>
      <c r="K59" t="s">
        <v>36</v>
      </c>
      <c r="L59">
        <v>2025</v>
      </c>
      <c r="M59" t="s">
        <v>24</v>
      </c>
      <c r="N59">
        <v>1310.9</v>
      </c>
      <c r="O59">
        <v>14.2</v>
      </c>
      <c r="P59" s="3">
        <v>21.9756174098993</v>
      </c>
      <c r="Q59">
        <v>1.7862225486349621</v>
      </c>
      <c r="R59">
        <f>O59+37</f>
        <v>51.2</v>
      </c>
      <c r="S59">
        <v>25.726923975573463</v>
      </c>
      <c r="T59">
        <f t="shared" si="1"/>
        <v>25.726923975573463</v>
      </c>
    </row>
    <row r="60" spans="1:20" hidden="1" x14ac:dyDescent="0.25">
      <c r="A60" t="s">
        <v>203</v>
      </c>
      <c r="B60">
        <v>13</v>
      </c>
      <c r="C60">
        <v>31</v>
      </c>
      <c r="D60">
        <v>3</v>
      </c>
      <c r="E60">
        <v>3</v>
      </c>
      <c r="F60">
        <v>15</v>
      </c>
      <c r="G60">
        <v>10</v>
      </c>
      <c r="H60" t="s">
        <v>100</v>
      </c>
      <c r="I60" t="s">
        <v>101</v>
      </c>
      <c r="J60" t="s">
        <v>22</v>
      </c>
      <c r="K60" t="s">
        <v>102</v>
      </c>
      <c r="L60">
        <v>2025</v>
      </c>
      <c r="M60" t="s">
        <v>24</v>
      </c>
      <c r="N60">
        <v>1324.51</v>
      </c>
      <c r="O60">
        <v>14.6</v>
      </c>
      <c r="P60" s="3">
        <v>22.100258139802001</v>
      </c>
      <c r="Q60">
        <v>2.692820947367693</v>
      </c>
      <c r="R60">
        <v>51.6</v>
      </c>
      <c r="S60">
        <v>25.672276606583893</v>
      </c>
      <c r="T60">
        <f t="shared" si="1"/>
        <v>25.672276606583893</v>
      </c>
    </row>
    <row r="61" spans="1:20" hidden="1" x14ac:dyDescent="0.25">
      <c r="A61" t="s">
        <v>217</v>
      </c>
      <c r="B61">
        <v>3</v>
      </c>
      <c r="C61">
        <v>33</v>
      </c>
      <c r="D61">
        <v>3</v>
      </c>
      <c r="E61">
        <v>5</v>
      </c>
      <c r="F61">
        <v>17</v>
      </c>
      <c r="G61">
        <v>12</v>
      </c>
      <c r="H61" t="s">
        <v>151</v>
      </c>
      <c r="I61" t="s">
        <v>66</v>
      </c>
      <c r="J61" t="s">
        <v>22</v>
      </c>
      <c r="K61" t="s">
        <v>152</v>
      </c>
      <c r="L61">
        <v>2025</v>
      </c>
      <c r="M61" t="s">
        <v>24</v>
      </c>
      <c r="N61">
        <v>1408.91</v>
      </c>
      <c r="O61">
        <v>14.87</v>
      </c>
      <c r="P61" s="3">
        <v>23.434199304963801</v>
      </c>
      <c r="Q61">
        <v>0.73742568126633168</v>
      </c>
      <c r="R61">
        <f>O61+40</f>
        <v>54.87</v>
      </c>
      <c r="S61">
        <v>25.599524445772332</v>
      </c>
      <c r="T61">
        <f t="shared" si="1"/>
        <v>25.599524445772332</v>
      </c>
    </row>
    <row r="62" spans="1:20" hidden="1" x14ac:dyDescent="0.25">
      <c r="A62" t="s">
        <v>103</v>
      </c>
      <c r="B62">
        <v>13</v>
      </c>
      <c r="C62">
        <v>2</v>
      </c>
      <c r="D62">
        <v>1</v>
      </c>
      <c r="E62">
        <v>4</v>
      </c>
      <c r="F62">
        <v>4</v>
      </c>
      <c r="G62">
        <v>13</v>
      </c>
      <c r="H62" t="s">
        <v>104</v>
      </c>
      <c r="I62" t="s">
        <v>85</v>
      </c>
      <c r="J62" t="s">
        <v>22</v>
      </c>
      <c r="K62" t="s">
        <v>105</v>
      </c>
      <c r="L62">
        <v>2025</v>
      </c>
      <c r="M62" t="s">
        <v>24</v>
      </c>
      <c r="N62">
        <v>1288.22</v>
      </c>
      <c r="O62">
        <v>18.3</v>
      </c>
      <c r="P62" s="3">
        <v>20.5634665088369</v>
      </c>
      <c r="Q62">
        <v>2.4170861562687902</v>
      </c>
      <c r="R62">
        <f>O62+30</f>
        <v>48.3</v>
      </c>
      <c r="S62">
        <v>25.519134214072107</v>
      </c>
      <c r="T62">
        <f t="shared" si="1"/>
        <v>25.519134214072107</v>
      </c>
    </row>
    <row r="63" spans="1:20" hidden="1" x14ac:dyDescent="0.25">
      <c r="A63" t="s">
        <v>163</v>
      </c>
      <c r="B63">
        <v>11</v>
      </c>
      <c r="C63">
        <v>29</v>
      </c>
      <c r="D63">
        <v>2</v>
      </c>
      <c r="E63">
        <v>2</v>
      </c>
      <c r="F63">
        <v>8</v>
      </c>
      <c r="G63">
        <v>12</v>
      </c>
      <c r="H63" t="s">
        <v>50</v>
      </c>
      <c r="I63" t="s">
        <v>51</v>
      </c>
      <c r="J63" t="s">
        <v>22</v>
      </c>
      <c r="K63" t="s">
        <v>52</v>
      </c>
      <c r="L63">
        <v>2025</v>
      </c>
      <c r="M63" t="s">
        <v>24</v>
      </c>
      <c r="N63">
        <v>1332.06</v>
      </c>
      <c r="O63">
        <v>17.5</v>
      </c>
      <c r="P63" s="3">
        <v>21.471479464365601</v>
      </c>
      <c r="Q63">
        <v>2.3346598042101849</v>
      </c>
      <c r="R63">
        <f>O63+33</f>
        <v>50.5</v>
      </c>
      <c r="S63">
        <v>25.485158001862899</v>
      </c>
      <c r="T63">
        <f t="shared" si="1"/>
        <v>25.485158001862899</v>
      </c>
    </row>
    <row r="64" spans="1:20" hidden="1" x14ac:dyDescent="0.25">
      <c r="A64" t="s">
        <v>156</v>
      </c>
      <c r="B64">
        <v>5</v>
      </c>
      <c r="C64">
        <v>26</v>
      </c>
      <c r="D64">
        <v>2</v>
      </c>
      <c r="E64">
        <v>1</v>
      </c>
      <c r="F64">
        <v>7</v>
      </c>
      <c r="G64">
        <v>11</v>
      </c>
      <c r="H64" t="s">
        <v>135</v>
      </c>
      <c r="I64" t="s">
        <v>136</v>
      </c>
      <c r="J64" t="s">
        <v>22</v>
      </c>
      <c r="K64" t="s">
        <v>137</v>
      </c>
      <c r="L64">
        <v>2025</v>
      </c>
      <c r="M64" t="s">
        <v>24</v>
      </c>
      <c r="N64">
        <v>1383.48</v>
      </c>
      <c r="O64">
        <v>14.5</v>
      </c>
      <c r="P64" s="3">
        <v>23.1112392880686</v>
      </c>
      <c r="Q64">
        <v>1.2430902192325559</v>
      </c>
      <c r="R64">
        <f>O64+40</f>
        <v>54.5</v>
      </c>
      <c r="S64">
        <v>25.418122622510626</v>
      </c>
      <c r="T64">
        <f t="shared" si="1"/>
        <v>25.418122622510626</v>
      </c>
    </row>
    <row r="65" spans="1:20" hidden="1" x14ac:dyDescent="0.25">
      <c r="A65" t="s">
        <v>245</v>
      </c>
      <c r="B65">
        <v>20</v>
      </c>
      <c r="C65">
        <v>10</v>
      </c>
      <c r="D65">
        <v>4</v>
      </c>
      <c r="E65">
        <v>4</v>
      </c>
      <c r="F65">
        <v>22</v>
      </c>
      <c r="G65">
        <v>11</v>
      </c>
      <c r="H65" t="s">
        <v>46</v>
      </c>
      <c r="I65" t="s">
        <v>47</v>
      </c>
      <c r="J65" t="s">
        <v>22</v>
      </c>
      <c r="K65" t="s">
        <v>48</v>
      </c>
      <c r="L65">
        <v>2025</v>
      </c>
      <c r="M65" t="s">
        <v>24</v>
      </c>
      <c r="N65">
        <v>1261.01</v>
      </c>
      <c r="O65">
        <v>13.7</v>
      </c>
      <c r="P65" s="3">
        <v>21.262462493142301</v>
      </c>
      <c r="Q65">
        <v>3.4717481774044918</v>
      </c>
      <c r="R65">
        <v>50.7</v>
      </c>
      <c r="S65">
        <v>25.137514829170549</v>
      </c>
      <c r="T65">
        <f t="shared" si="1"/>
        <v>25.137514829170549</v>
      </c>
    </row>
    <row r="66" spans="1:20" hidden="1" x14ac:dyDescent="0.25">
      <c r="A66" t="s">
        <v>200</v>
      </c>
      <c r="B66">
        <v>22</v>
      </c>
      <c r="C66">
        <v>5</v>
      </c>
      <c r="D66">
        <v>3</v>
      </c>
      <c r="E66">
        <v>2</v>
      </c>
      <c r="F66">
        <v>14</v>
      </c>
      <c r="G66">
        <v>13</v>
      </c>
      <c r="H66" t="s">
        <v>26</v>
      </c>
      <c r="I66" t="s">
        <v>27</v>
      </c>
      <c r="J66" t="s">
        <v>22</v>
      </c>
      <c r="K66" t="s">
        <v>28</v>
      </c>
      <c r="L66">
        <v>2025</v>
      </c>
      <c r="M66" t="s">
        <v>24</v>
      </c>
      <c r="N66">
        <v>1306.3699999999999</v>
      </c>
      <c r="O66">
        <v>18</v>
      </c>
      <c r="P66" s="3">
        <v>20.9297617723544</v>
      </c>
      <c r="Q66">
        <v>3.8746990625629492</v>
      </c>
      <c r="R66">
        <v>50</v>
      </c>
      <c r="S66">
        <v>25.090598412698409</v>
      </c>
      <c r="T66">
        <f t="shared" ref="T66:T97" si="2">IF(N66&lt;= 0, -9, N66/ 453.6 / (R66/ 43560) * ((100 - O66) / (100 - 18)) / 100)</f>
        <v>25.090598412698409</v>
      </c>
    </row>
    <row r="67" spans="1:20" hidden="1" x14ac:dyDescent="0.25">
      <c r="A67" t="s">
        <v>201</v>
      </c>
      <c r="B67">
        <v>24</v>
      </c>
      <c r="C67">
        <v>17</v>
      </c>
      <c r="D67">
        <v>3</v>
      </c>
      <c r="E67">
        <v>3</v>
      </c>
      <c r="F67">
        <v>15</v>
      </c>
      <c r="G67">
        <v>8</v>
      </c>
      <c r="H67" t="s">
        <v>96</v>
      </c>
      <c r="I67" t="s">
        <v>97</v>
      </c>
      <c r="J67" t="s">
        <v>22</v>
      </c>
      <c r="K67" t="s">
        <v>98</v>
      </c>
      <c r="L67">
        <v>2025</v>
      </c>
      <c r="M67" t="s">
        <v>24</v>
      </c>
      <c r="N67">
        <v>1274.6199999999999</v>
      </c>
      <c r="O67">
        <v>14.2</v>
      </c>
      <c r="P67" s="3">
        <v>21.367428074609599</v>
      </c>
      <c r="Q67">
        <v>3.610580247133881</v>
      </c>
      <c r="R67">
        <v>51.2</v>
      </c>
      <c r="S67">
        <v>25.014914820158243</v>
      </c>
      <c r="T67">
        <f t="shared" si="2"/>
        <v>25.014914820158243</v>
      </c>
    </row>
    <row r="68" spans="1:20" hidden="1" x14ac:dyDescent="0.25">
      <c r="A68" t="s">
        <v>191</v>
      </c>
      <c r="B68">
        <v>14</v>
      </c>
      <c r="C68">
        <v>3</v>
      </c>
      <c r="D68">
        <v>3</v>
      </c>
      <c r="E68">
        <v>1</v>
      </c>
      <c r="F68">
        <v>13</v>
      </c>
      <c r="G68">
        <v>9</v>
      </c>
      <c r="H68" t="s">
        <v>61</v>
      </c>
      <c r="I68" t="s">
        <v>62</v>
      </c>
      <c r="J68" t="s">
        <v>22</v>
      </c>
      <c r="K68" t="s">
        <v>63</v>
      </c>
      <c r="L68">
        <v>2025</v>
      </c>
      <c r="M68" t="s">
        <v>24</v>
      </c>
      <c r="N68">
        <v>1233.79</v>
      </c>
      <c r="O68">
        <v>13.3</v>
      </c>
      <c r="P68" s="3">
        <v>20.899917779761999</v>
      </c>
      <c r="Q68">
        <v>3.0951411619234732</v>
      </c>
      <c r="R68">
        <v>50.3</v>
      </c>
      <c r="S68">
        <v>24.905389099779949</v>
      </c>
      <c r="T68">
        <f t="shared" si="2"/>
        <v>24.905389099779949</v>
      </c>
    </row>
    <row r="69" spans="1:20" hidden="1" x14ac:dyDescent="0.25">
      <c r="A69" t="s">
        <v>166</v>
      </c>
      <c r="B69">
        <v>19</v>
      </c>
      <c r="C69">
        <v>21</v>
      </c>
      <c r="D69">
        <v>2</v>
      </c>
      <c r="E69">
        <v>3</v>
      </c>
      <c r="F69">
        <v>9</v>
      </c>
      <c r="G69">
        <v>9</v>
      </c>
      <c r="H69" t="s">
        <v>54</v>
      </c>
      <c r="I69" t="s">
        <v>55</v>
      </c>
      <c r="J69" t="s">
        <v>22</v>
      </c>
      <c r="K69" t="s">
        <v>56</v>
      </c>
      <c r="L69">
        <v>2025</v>
      </c>
      <c r="M69" t="s">
        <v>24</v>
      </c>
      <c r="N69">
        <v>1094.68</v>
      </c>
      <c r="O69">
        <v>13</v>
      </c>
      <c r="P69" s="3">
        <v>18.607613226854401</v>
      </c>
      <c r="Q69">
        <v>3.659982553614149</v>
      </c>
      <c r="R69">
        <v>45</v>
      </c>
      <c r="S69">
        <v>24.785340818170088</v>
      </c>
      <c r="T69">
        <f t="shared" si="2"/>
        <v>24.785340818170088</v>
      </c>
    </row>
    <row r="70" spans="1:20" hidden="1" x14ac:dyDescent="0.25">
      <c r="A70" t="s">
        <v>192</v>
      </c>
      <c r="B70">
        <v>7</v>
      </c>
      <c r="C70">
        <v>36</v>
      </c>
      <c r="D70">
        <v>3</v>
      </c>
      <c r="E70">
        <v>1</v>
      </c>
      <c r="F70">
        <v>13</v>
      </c>
      <c r="G70">
        <v>10</v>
      </c>
      <c r="H70" t="s">
        <v>58</v>
      </c>
      <c r="I70" t="s">
        <v>21</v>
      </c>
      <c r="J70" t="s">
        <v>22</v>
      </c>
      <c r="K70" t="s">
        <v>59</v>
      </c>
      <c r="L70">
        <v>2025</v>
      </c>
      <c r="M70" t="s">
        <v>24</v>
      </c>
      <c r="N70">
        <v>1265.54</v>
      </c>
      <c r="O70">
        <v>12.5</v>
      </c>
      <c r="P70" s="3">
        <v>21.6355611483209</v>
      </c>
      <c r="Q70">
        <v>1.540664383253912</v>
      </c>
      <c r="R70">
        <f>O70+40</f>
        <v>52.5</v>
      </c>
      <c r="S70">
        <v>24.701629242482898</v>
      </c>
      <c r="T70">
        <f t="shared" si="2"/>
        <v>24.701629242482898</v>
      </c>
    </row>
    <row r="71" spans="1:20" hidden="1" x14ac:dyDescent="0.25">
      <c r="A71" t="s">
        <v>33</v>
      </c>
      <c r="B71">
        <v>11</v>
      </c>
      <c r="C71">
        <v>8</v>
      </c>
      <c r="D71">
        <v>1</v>
      </c>
      <c r="E71">
        <v>1</v>
      </c>
      <c r="F71">
        <v>1</v>
      </c>
      <c r="G71">
        <v>11</v>
      </c>
      <c r="H71" t="s">
        <v>34</v>
      </c>
      <c r="I71" t="s">
        <v>35</v>
      </c>
      <c r="J71" t="s">
        <v>22</v>
      </c>
      <c r="K71" t="s">
        <v>36</v>
      </c>
      <c r="L71">
        <v>2025</v>
      </c>
      <c r="M71" t="s">
        <v>24</v>
      </c>
      <c r="N71">
        <v>1029.67</v>
      </c>
      <c r="O71">
        <v>13</v>
      </c>
      <c r="P71" s="3">
        <v>17.502558840296</v>
      </c>
      <c r="Q71">
        <v>2.4759922443821538</v>
      </c>
      <c r="R71">
        <f>O71+30</f>
        <v>43</v>
      </c>
      <c r="S71">
        <v>24.39775295086838</v>
      </c>
      <c r="T71">
        <f t="shared" si="2"/>
        <v>24.39775295086838</v>
      </c>
    </row>
    <row r="72" spans="1:20" hidden="1" x14ac:dyDescent="0.25">
      <c r="A72" t="s">
        <v>172</v>
      </c>
      <c r="B72">
        <v>25</v>
      </c>
      <c r="C72">
        <v>2</v>
      </c>
      <c r="D72">
        <v>2</v>
      </c>
      <c r="E72">
        <v>3</v>
      </c>
      <c r="F72">
        <v>9</v>
      </c>
      <c r="G72">
        <v>13</v>
      </c>
      <c r="H72" t="s">
        <v>104</v>
      </c>
      <c r="I72" t="s">
        <v>85</v>
      </c>
      <c r="J72" t="s">
        <v>22</v>
      </c>
      <c r="K72" t="s">
        <v>105</v>
      </c>
      <c r="L72">
        <v>2025</v>
      </c>
      <c r="M72" t="s">
        <v>24</v>
      </c>
      <c r="N72">
        <v>1397.09</v>
      </c>
      <c r="O72">
        <v>18</v>
      </c>
      <c r="P72" s="3">
        <v>22.383215225807799</v>
      </c>
      <c r="Q72">
        <v>3.5801563529945728</v>
      </c>
      <c r="R72">
        <v>55</v>
      </c>
      <c r="S72">
        <v>24.393634920634913</v>
      </c>
      <c r="T72">
        <f t="shared" si="2"/>
        <v>24.393634920634913</v>
      </c>
    </row>
    <row r="73" spans="1:20" hidden="1" x14ac:dyDescent="0.25">
      <c r="A73" t="s">
        <v>236</v>
      </c>
      <c r="B73">
        <v>29</v>
      </c>
      <c r="C73">
        <v>2</v>
      </c>
      <c r="D73">
        <v>4</v>
      </c>
      <c r="E73">
        <v>2</v>
      </c>
      <c r="F73">
        <v>20</v>
      </c>
      <c r="G73">
        <v>13</v>
      </c>
      <c r="H73" t="s">
        <v>104</v>
      </c>
      <c r="I73" t="s">
        <v>85</v>
      </c>
      <c r="J73" t="s">
        <v>22</v>
      </c>
      <c r="K73" t="s">
        <v>105</v>
      </c>
      <c r="L73">
        <v>2025</v>
      </c>
      <c r="M73" t="s">
        <v>24</v>
      </c>
      <c r="N73">
        <v>1106.78</v>
      </c>
      <c r="O73">
        <v>17.100000000000001</v>
      </c>
      <c r="P73" s="3">
        <v>17.926688305934</v>
      </c>
      <c r="Q73">
        <v>4.3343776102230924</v>
      </c>
      <c r="R73">
        <v>44.1</v>
      </c>
      <c r="S73">
        <v>24.365662064800105</v>
      </c>
      <c r="T73">
        <f t="shared" si="2"/>
        <v>24.365662064800105</v>
      </c>
    </row>
    <row r="74" spans="1:20" hidden="1" x14ac:dyDescent="0.25">
      <c r="A74" t="s">
        <v>180</v>
      </c>
      <c r="B74">
        <v>13</v>
      </c>
      <c r="C74">
        <v>1</v>
      </c>
      <c r="D74">
        <v>2</v>
      </c>
      <c r="E74">
        <v>5</v>
      </c>
      <c r="F74">
        <v>11</v>
      </c>
      <c r="G74">
        <v>9</v>
      </c>
      <c r="H74" t="s">
        <v>38</v>
      </c>
      <c r="I74" t="s">
        <v>39</v>
      </c>
      <c r="J74" t="s">
        <v>22</v>
      </c>
      <c r="K74" t="s">
        <v>40</v>
      </c>
      <c r="L74">
        <v>2025</v>
      </c>
      <c r="M74" t="s">
        <v>24</v>
      </c>
      <c r="N74">
        <v>1152.1400000000001</v>
      </c>
      <c r="O74">
        <v>14.5</v>
      </c>
      <c r="P74" s="3">
        <v>19.246670160288001</v>
      </c>
      <c r="Q74">
        <v>2.3278858787457568</v>
      </c>
      <c r="R74">
        <f>O74+33</f>
        <v>47.5</v>
      </c>
      <c r="S74">
        <v>24.287271777003482</v>
      </c>
      <c r="T74">
        <f t="shared" si="2"/>
        <v>24.287271777003482</v>
      </c>
    </row>
    <row r="75" spans="1:20" hidden="1" x14ac:dyDescent="0.25">
      <c r="A75" t="s">
        <v>206</v>
      </c>
      <c r="B75">
        <v>24</v>
      </c>
      <c r="C75">
        <v>12</v>
      </c>
      <c r="D75">
        <v>3</v>
      </c>
      <c r="E75">
        <v>3</v>
      </c>
      <c r="F75">
        <v>15</v>
      </c>
      <c r="G75">
        <v>13</v>
      </c>
      <c r="H75" t="s">
        <v>84</v>
      </c>
      <c r="I75" t="s">
        <v>85</v>
      </c>
      <c r="J75" t="s">
        <v>22</v>
      </c>
      <c r="K75" t="s">
        <v>86</v>
      </c>
      <c r="L75">
        <v>2025</v>
      </c>
      <c r="M75" t="s">
        <v>24</v>
      </c>
      <c r="N75">
        <v>1152.1400000000001</v>
      </c>
      <c r="O75">
        <v>18.399999999999999</v>
      </c>
      <c r="P75" s="3">
        <v>18.368751872274899</v>
      </c>
      <c r="Q75">
        <v>4.1155180586923192</v>
      </c>
      <c r="R75">
        <v>45.4</v>
      </c>
      <c r="S75">
        <v>24.251607648109207</v>
      </c>
      <c r="T75">
        <f t="shared" si="2"/>
        <v>24.251607648109207</v>
      </c>
    </row>
    <row r="76" spans="1:20" hidden="1" x14ac:dyDescent="0.25">
      <c r="A76" t="s">
        <v>229</v>
      </c>
      <c r="B76">
        <v>17</v>
      </c>
      <c r="C76">
        <v>16</v>
      </c>
      <c r="D76">
        <v>4</v>
      </c>
      <c r="E76">
        <v>1</v>
      </c>
      <c r="F76">
        <v>19</v>
      </c>
      <c r="G76">
        <v>12</v>
      </c>
      <c r="H76" t="s">
        <v>73</v>
      </c>
      <c r="I76" t="s">
        <v>74</v>
      </c>
      <c r="J76" t="s">
        <v>22</v>
      </c>
      <c r="K76" t="s">
        <v>75</v>
      </c>
      <c r="L76">
        <v>2025</v>
      </c>
      <c r="M76" t="s">
        <v>24</v>
      </c>
      <c r="N76">
        <v>1388.02</v>
      </c>
      <c r="O76">
        <v>18</v>
      </c>
      <c r="P76" s="3">
        <v>22.237901923087101</v>
      </c>
      <c r="Q76">
        <v>3.257920133503156</v>
      </c>
      <c r="R76">
        <v>55</v>
      </c>
      <c r="S76">
        <v>24.235269841269837</v>
      </c>
      <c r="T76">
        <f t="shared" si="2"/>
        <v>24.235269841269837</v>
      </c>
    </row>
    <row r="77" spans="1:20" hidden="1" x14ac:dyDescent="0.25">
      <c r="A77" t="s">
        <v>226</v>
      </c>
      <c r="B77">
        <v>36</v>
      </c>
      <c r="C77">
        <v>17</v>
      </c>
      <c r="D77">
        <v>4</v>
      </c>
      <c r="E77">
        <v>1</v>
      </c>
      <c r="F77">
        <v>19</v>
      </c>
      <c r="G77">
        <v>9</v>
      </c>
      <c r="H77" t="s">
        <v>96</v>
      </c>
      <c r="I77" t="s">
        <v>97</v>
      </c>
      <c r="J77" t="s">
        <v>22</v>
      </c>
      <c r="K77" t="s">
        <v>98</v>
      </c>
      <c r="L77">
        <v>2025</v>
      </c>
      <c r="M77" t="s">
        <v>24</v>
      </c>
      <c r="N77">
        <v>1093.18</v>
      </c>
      <c r="O77">
        <v>13.7</v>
      </c>
      <c r="P77" s="3">
        <v>18.432604617134899</v>
      </c>
      <c r="Q77">
        <v>3.8138436462611121</v>
      </c>
      <c r="R77">
        <v>45.7</v>
      </c>
      <c r="S77">
        <v>24.176155815121763</v>
      </c>
      <c r="T77">
        <f t="shared" si="2"/>
        <v>24.176155815121763</v>
      </c>
    </row>
    <row r="78" spans="1:20" hidden="1" x14ac:dyDescent="0.25">
      <c r="A78" t="s">
        <v>53</v>
      </c>
      <c r="B78">
        <v>15</v>
      </c>
      <c r="C78">
        <v>21</v>
      </c>
      <c r="D78">
        <v>1</v>
      </c>
      <c r="E78">
        <v>2</v>
      </c>
      <c r="F78">
        <v>2</v>
      </c>
      <c r="G78">
        <v>11</v>
      </c>
      <c r="H78" t="s">
        <v>54</v>
      </c>
      <c r="I78" t="s">
        <v>55</v>
      </c>
      <c r="J78" t="s">
        <v>22</v>
      </c>
      <c r="K78" t="s">
        <v>56</v>
      </c>
      <c r="L78">
        <v>2025</v>
      </c>
      <c r="M78" t="s">
        <v>24</v>
      </c>
      <c r="N78">
        <v>1188.43</v>
      </c>
      <c r="O78">
        <v>13.1</v>
      </c>
      <c r="P78" s="3">
        <v>20.177976736253601</v>
      </c>
      <c r="Q78">
        <v>3.0347325757520491</v>
      </c>
      <c r="R78">
        <v>50.1</v>
      </c>
      <c r="S78">
        <v>24.141076358703422</v>
      </c>
      <c r="T78">
        <f t="shared" si="2"/>
        <v>24.141076358703422</v>
      </c>
    </row>
    <row r="79" spans="1:20" hidden="1" x14ac:dyDescent="0.25">
      <c r="A79" t="s">
        <v>60</v>
      </c>
      <c r="B79">
        <v>15</v>
      </c>
      <c r="C79">
        <v>3</v>
      </c>
      <c r="D79">
        <v>1</v>
      </c>
      <c r="E79">
        <v>2</v>
      </c>
      <c r="F79">
        <v>2</v>
      </c>
      <c r="G79">
        <v>13</v>
      </c>
      <c r="H79" t="s">
        <v>61</v>
      </c>
      <c r="I79" t="s">
        <v>62</v>
      </c>
      <c r="J79" t="s">
        <v>22</v>
      </c>
      <c r="K79" t="s">
        <v>63</v>
      </c>
      <c r="L79">
        <v>2025</v>
      </c>
      <c r="M79" t="s">
        <v>24</v>
      </c>
      <c r="N79">
        <v>1206.58</v>
      </c>
      <c r="O79">
        <v>18</v>
      </c>
      <c r="P79" s="3">
        <v>19.3309950161802</v>
      </c>
      <c r="Q79">
        <v>2.5951487447533141</v>
      </c>
      <c r="R79">
        <f>O79+30</f>
        <v>48</v>
      </c>
      <c r="S79">
        <v>24.139580026455022</v>
      </c>
      <c r="T79">
        <f t="shared" si="2"/>
        <v>24.139580026455022</v>
      </c>
    </row>
    <row r="80" spans="1:20" hidden="1" x14ac:dyDescent="0.25">
      <c r="A80" t="s">
        <v>257</v>
      </c>
      <c r="B80">
        <v>13</v>
      </c>
      <c r="C80">
        <v>18</v>
      </c>
      <c r="D80">
        <v>4</v>
      </c>
      <c r="E80">
        <v>6</v>
      </c>
      <c r="F80">
        <v>24</v>
      </c>
      <c r="G80">
        <v>11</v>
      </c>
      <c r="H80" t="s">
        <v>77</v>
      </c>
      <c r="I80" t="s">
        <v>39</v>
      </c>
      <c r="J80" t="s">
        <v>22</v>
      </c>
      <c r="K80" t="s">
        <v>78</v>
      </c>
      <c r="L80">
        <v>2025</v>
      </c>
      <c r="M80" t="s">
        <v>24</v>
      </c>
      <c r="N80">
        <v>1215.6500000000001</v>
      </c>
      <c r="O80">
        <v>13.9</v>
      </c>
      <c r="P80" s="3">
        <v>20.450123734845999</v>
      </c>
      <c r="Q80">
        <v>2.9986588342486118</v>
      </c>
      <c r="R80">
        <v>50.9</v>
      </c>
      <c r="S80">
        <v>24.082129993451204</v>
      </c>
      <c r="T80">
        <f t="shared" si="2"/>
        <v>24.082129993451204</v>
      </c>
    </row>
    <row r="81" spans="1:20" hidden="1" x14ac:dyDescent="0.25">
      <c r="A81" t="s">
        <v>250</v>
      </c>
      <c r="B81">
        <v>1</v>
      </c>
      <c r="C81">
        <v>33</v>
      </c>
      <c r="D81">
        <v>4</v>
      </c>
      <c r="E81">
        <v>5</v>
      </c>
      <c r="F81">
        <v>23</v>
      </c>
      <c r="G81">
        <v>10</v>
      </c>
      <c r="H81" t="s">
        <v>151</v>
      </c>
      <c r="I81" t="s">
        <v>66</v>
      </c>
      <c r="J81" t="s">
        <v>22</v>
      </c>
      <c r="K81" t="s">
        <v>152</v>
      </c>
      <c r="L81">
        <v>2025</v>
      </c>
      <c r="M81" t="s">
        <v>24</v>
      </c>
      <c r="N81">
        <v>1270.08</v>
      </c>
      <c r="O81">
        <v>13.5</v>
      </c>
      <c r="P81" s="3">
        <v>21.465026001611399</v>
      </c>
      <c r="Q81">
        <v>0.21295203343775429</v>
      </c>
      <c r="R81">
        <f>O81+40</f>
        <v>53.5</v>
      </c>
      <c r="S81">
        <v>24.04885343059038</v>
      </c>
      <c r="T81">
        <f t="shared" si="2"/>
        <v>24.04885343059038</v>
      </c>
    </row>
    <row r="82" spans="1:20" hidden="1" x14ac:dyDescent="0.25">
      <c r="A82" t="s">
        <v>76</v>
      </c>
      <c r="B82">
        <v>8</v>
      </c>
      <c r="C82">
        <v>18</v>
      </c>
      <c r="D82">
        <v>1</v>
      </c>
      <c r="E82">
        <v>3</v>
      </c>
      <c r="F82">
        <v>3</v>
      </c>
      <c r="G82">
        <v>12</v>
      </c>
      <c r="H82" t="s">
        <v>77</v>
      </c>
      <c r="I82" t="s">
        <v>39</v>
      </c>
      <c r="J82" t="s">
        <v>22</v>
      </c>
      <c r="K82" t="s">
        <v>78</v>
      </c>
      <c r="L82">
        <v>2025</v>
      </c>
      <c r="M82" t="s">
        <v>24</v>
      </c>
      <c r="N82">
        <v>1319.87</v>
      </c>
      <c r="O82">
        <v>16.8</v>
      </c>
      <c r="P82" s="3">
        <v>21.455503871402701</v>
      </c>
      <c r="Q82">
        <v>1.893911307149726</v>
      </c>
      <c r="R82">
        <f>O82+37</f>
        <v>53.8</v>
      </c>
      <c r="S82">
        <v>23.904143160815565</v>
      </c>
      <c r="T82">
        <f t="shared" si="2"/>
        <v>23.904143160815565</v>
      </c>
    </row>
    <row r="83" spans="1:20" hidden="1" x14ac:dyDescent="0.25">
      <c r="A83" t="s">
        <v>164</v>
      </c>
      <c r="B83">
        <v>12</v>
      </c>
      <c r="C83">
        <v>20</v>
      </c>
      <c r="D83">
        <v>2</v>
      </c>
      <c r="E83">
        <v>2</v>
      </c>
      <c r="F83">
        <v>8</v>
      </c>
      <c r="G83">
        <v>13</v>
      </c>
      <c r="H83" t="s">
        <v>92</v>
      </c>
      <c r="I83" t="s">
        <v>93</v>
      </c>
      <c r="J83" t="s">
        <v>22</v>
      </c>
      <c r="K83" t="s">
        <v>94</v>
      </c>
      <c r="L83">
        <v>2025</v>
      </c>
      <c r="M83" t="s">
        <v>24</v>
      </c>
      <c r="N83">
        <v>1388.02</v>
      </c>
      <c r="O83">
        <v>18.600000000000001</v>
      </c>
      <c r="P83" s="3">
        <v>22.0751855675523</v>
      </c>
      <c r="Q83">
        <v>2.6692478565540592</v>
      </c>
      <c r="R83">
        <v>55.6</v>
      </c>
      <c r="S83">
        <v>23.798320556098673</v>
      </c>
      <c r="T83">
        <f t="shared" si="2"/>
        <v>23.798320556098673</v>
      </c>
    </row>
    <row r="84" spans="1:20" hidden="1" x14ac:dyDescent="0.25">
      <c r="A84" t="s">
        <v>234</v>
      </c>
      <c r="B84">
        <v>5</v>
      </c>
      <c r="C84">
        <v>32</v>
      </c>
      <c r="D84">
        <v>4</v>
      </c>
      <c r="E84">
        <v>2</v>
      </c>
      <c r="F84">
        <v>20</v>
      </c>
      <c r="G84">
        <v>11</v>
      </c>
      <c r="H84" t="s">
        <v>168</v>
      </c>
      <c r="I84" t="s">
        <v>148</v>
      </c>
      <c r="J84" t="s">
        <v>22</v>
      </c>
      <c r="K84" t="s">
        <v>169</v>
      </c>
      <c r="L84">
        <v>2025</v>
      </c>
      <c r="M84" t="s">
        <v>24</v>
      </c>
      <c r="N84">
        <v>1238.33</v>
      </c>
      <c r="O84">
        <v>13.1</v>
      </c>
      <c r="P84" s="3">
        <v>21.025213038887401</v>
      </c>
      <c r="Q84">
        <v>1.2125887086239551</v>
      </c>
      <c r="R84">
        <f>O84+40</f>
        <v>53.1</v>
      </c>
      <c r="S84">
        <v>23.733545565930502</v>
      </c>
      <c r="T84">
        <f t="shared" si="2"/>
        <v>23.733545565930502</v>
      </c>
    </row>
    <row r="85" spans="1:20" hidden="1" x14ac:dyDescent="0.25">
      <c r="A85" t="s">
        <v>218</v>
      </c>
      <c r="B85">
        <v>15</v>
      </c>
      <c r="C85">
        <v>15</v>
      </c>
      <c r="D85">
        <v>3</v>
      </c>
      <c r="E85">
        <v>5</v>
      </c>
      <c r="F85">
        <v>17</v>
      </c>
      <c r="G85">
        <v>13</v>
      </c>
      <c r="H85" t="s">
        <v>139</v>
      </c>
      <c r="I85" t="s">
        <v>140</v>
      </c>
      <c r="J85" t="s">
        <v>22</v>
      </c>
      <c r="K85" t="s">
        <v>141</v>
      </c>
      <c r="L85">
        <v>2025</v>
      </c>
      <c r="M85" t="s">
        <v>24</v>
      </c>
      <c r="N85">
        <v>1129.46</v>
      </c>
      <c r="O85">
        <v>16.600000000000001</v>
      </c>
      <c r="P85" s="3">
        <v>18.404377800177301</v>
      </c>
      <c r="Q85">
        <v>2.4232154751230568</v>
      </c>
      <c r="R85">
        <f>O85+30</f>
        <v>46.6</v>
      </c>
      <c r="S85">
        <v>23.672927153275211</v>
      </c>
      <c r="T85">
        <f t="shared" si="2"/>
        <v>23.672927153275211</v>
      </c>
    </row>
    <row r="86" spans="1:20" hidden="1" x14ac:dyDescent="0.25">
      <c r="A86" t="s">
        <v>130</v>
      </c>
      <c r="B86">
        <v>6</v>
      </c>
      <c r="C86">
        <v>19</v>
      </c>
      <c r="D86">
        <v>1</v>
      </c>
      <c r="E86">
        <v>6</v>
      </c>
      <c r="F86">
        <v>6</v>
      </c>
      <c r="G86">
        <v>8</v>
      </c>
      <c r="H86" t="s">
        <v>131</v>
      </c>
      <c r="I86" t="s">
        <v>132</v>
      </c>
      <c r="J86" t="s">
        <v>22</v>
      </c>
      <c r="K86" t="s">
        <v>133</v>
      </c>
      <c r="L86">
        <v>2025</v>
      </c>
      <c r="M86" t="s">
        <v>24</v>
      </c>
      <c r="N86">
        <v>1242.8599999999999</v>
      </c>
      <c r="O86">
        <v>13.7</v>
      </c>
      <c r="P86" s="3">
        <v>20.956427097506602</v>
      </c>
      <c r="Q86">
        <v>1.3090163705653881</v>
      </c>
      <c r="R86">
        <f>O86+40</f>
        <v>53.7</v>
      </c>
      <c r="S86">
        <v>23.391587341239202</v>
      </c>
      <c r="T86">
        <f t="shared" si="2"/>
        <v>23.391587341239202</v>
      </c>
    </row>
    <row r="87" spans="1:20" hidden="1" x14ac:dyDescent="0.25">
      <c r="A87" t="s">
        <v>187</v>
      </c>
      <c r="B87">
        <v>11</v>
      </c>
      <c r="C87">
        <v>35</v>
      </c>
      <c r="D87">
        <v>2</v>
      </c>
      <c r="E87">
        <v>6</v>
      </c>
      <c r="F87">
        <v>12</v>
      </c>
      <c r="G87">
        <v>11</v>
      </c>
      <c r="H87" t="s">
        <v>20</v>
      </c>
      <c r="I87" t="s">
        <v>21</v>
      </c>
      <c r="J87" t="s">
        <v>22</v>
      </c>
      <c r="K87" t="s">
        <v>23</v>
      </c>
      <c r="L87">
        <v>2025</v>
      </c>
      <c r="M87" t="s">
        <v>24</v>
      </c>
      <c r="N87">
        <v>1034.21</v>
      </c>
      <c r="O87">
        <v>12.4</v>
      </c>
      <c r="P87" s="3">
        <v>17.7009702889107</v>
      </c>
      <c r="Q87">
        <v>2.135279242921706</v>
      </c>
      <c r="R87">
        <f>O87+33</f>
        <v>45.4</v>
      </c>
      <c r="S87">
        <v>23.369959451923023</v>
      </c>
      <c r="T87">
        <f t="shared" si="2"/>
        <v>23.369959451923023</v>
      </c>
    </row>
    <row r="88" spans="1:20" hidden="1" x14ac:dyDescent="0.25">
      <c r="A88" t="s">
        <v>258</v>
      </c>
      <c r="B88">
        <v>10</v>
      </c>
      <c r="C88">
        <v>3</v>
      </c>
      <c r="D88">
        <v>4</v>
      </c>
      <c r="E88">
        <v>6</v>
      </c>
      <c r="F88">
        <v>24</v>
      </c>
      <c r="G88">
        <v>12</v>
      </c>
      <c r="H88" t="s">
        <v>61</v>
      </c>
      <c r="I88" t="s">
        <v>62</v>
      </c>
      <c r="J88" t="s">
        <v>22</v>
      </c>
      <c r="K88" t="s">
        <v>63</v>
      </c>
      <c r="L88">
        <v>2025</v>
      </c>
      <c r="M88" t="s">
        <v>24</v>
      </c>
      <c r="N88">
        <v>1189.04</v>
      </c>
      <c r="O88">
        <v>16.7</v>
      </c>
      <c r="P88" s="3">
        <v>19.351993095172901</v>
      </c>
      <c r="Q88">
        <v>2.293030274713947</v>
      </c>
      <c r="R88">
        <f>O88+33</f>
        <v>49.7</v>
      </c>
      <c r="S88">
        <v>23.339204549791976</v>
      </c>
      <c r="T88">
        <f t="shared" si="2"/>
        <v>23.339204549791976</v>
      </c>
    </row>
    <row r="89" spans="1:20" hidden="1" x14ac:dyDescent="0.25">
      <c r="A89" t="s">
        <v>240</v>
      </c>
      <c r="B89">
        <v>20</v>
      </c>
      <c r="C89">
        <v>1</v>
      </c>
      <c r="D89">
        <v>4</v>
      </c>
      <c r="E89">
        <v>3</v>
      </c>
      <c r="F89">
        <v>21</v>
      </c>
      <c r="G89">
        <v>12</v>
      </c>
      <c r="H89" t="s">
        <v>38</v>
      </c>
      <c r="I89" t="s">
        <v>39</v>
      </c>
      <c r="J89" t="s">
        <v>22</v>
      </c>
      <c r="K89" t="s">
        <v>40</v>
      </c>
      <c r="L89">
        <v>2025</v>
      </c>
      <c r="M89" t="s">
        <v>24</v>
      </c>
      <c r="N89">
        <v>1079.57</v>
      </c>
      <c r="O89">
        <v>17.7</v>
      </c>
      <c r="P89" s="3">
        <v>17.359406656301399</v>
      </c>
      <c r="Q89">
        <v>3.9090795209870279</v>
      </c>
      <c r="R89">
        <v>44.7</v>
      </c>
      <c r="S89">
        <v>23.277915771335724</v>
      </c>
      <c r="T89">
        <f t="shared" si="2"/>
        <v>23.277915771335724</v>
      </c>
    </row>
    <row r="90" spans="1:20" hidden="1" x14ac:dyDescent="0.25">
      <c r="A90" t="s">
        <v>57</v>
      </c>
      <c r="B90">
        <v>8</v>
      </c>
      <c r="C90">
        <v>36</v>
      </c>
      <c r="D90">
        <v>1</v>
      </c>
      <c r="E90">
        <v>2</v>
      </c>
      <c r="F90">
        <v>2</v>
      </c>
      <c r="G90">
        <v>12</v>
      </c>
      <c r="H90" t="s">
        <v>58</v>
      </c>
      <c r="I90" t="s">
        <v>21</v>
      </c>
      <c r="J90" t="s">
        <v>22</v>
      </c>
      <c r="K90" t="s">
        <v>59</v>
      </c>
      <c r="L90">
        <v>2025</v>
      </c>
      <c r="M90" t="s">
        <v>24</v>
      </c>
      <c r="N90">
        <v>1302.83</v>
      </c>
      <c r="O90">
        <v>16.2</v>
      </c>
      <c r="P90" s="3">
        <v>21.331235148556701</v>
      </c>
      <c r="Q90">
        <v>1.7559938472141201</v>
      </c>
      <c r="R90">
        <f>O90+39</f>
        <v>55.2</v>
      </c>
      <c r="S90">
        <v>23.162939036313237</v>
      </c>
      <c r="T90">
        <f t="shared" si="2"/>
        <v>23.162939036313237</v>
      </c>
    </row>
    <row r="91" spans="1:20" hidden="1" x14ac:dyDescent="0.25">
      <c r="A91" t="s">
        <v>211</v>
      </c>
      <c r="B91">
        <v>18</v>
      </c>
      <c r="C91">
        <v>18</v>
      </c>
      <c r="D91">
        <v>3</v>
      </c>
      <c r="E91">
        <v>4</v>
      </c>
      <c r="F91">
        <v>16</v>
      </c>
      <c r="G91">
        <v>12</v>
      </c>
      <c r="H91" t="s">
        <v>77</v>
      </c>
      <c r="I91" t="s">
        <v>39</v>
      </c>
      <c r="J91" t="s">
        <v>22</v>
      </c>
      <c r="K91" t="s">
        <v>78</v>
      </c>
      <c r="L91">
        <v>2025</v>
      </c>
      <c r="M91" t="s">
        <v>24</v>
      </c>
      <c r="N91">
        <v>1198.74</v>
      </c>
      <c r="O91">
        <v>14.84</v>
      </c>
      <c r="P91" s="3">
        <v>19.9454979989668</v>
      </c>
      <c r="Q91">
        <v>3.1401353257528579</v>
      </c>
      <c r="R91">
        <v>51.84</v>
      </c>
      <c r="S91">
        <v>23.061982061305397</v>
      </c>
      <c r="T91">
        <f t="shared" si="2"/>
        <v>23.061982061305397</v>
      </c>
    </row>
    <row r="92" spans="1:20" hidden="1" x14ac:dyDescent="0.25">
      <c r="A92" t="s">
        <v>25</v>
      </c>
      <c r="B92">
        <v>41</v>
      </c>
      <c r="C92">
        <v>5</v>
      </c>
      <c r="D92">
        <v>1</v>
      </c>
      <c r="E92">
        <v>1</v>
      </c>
      <c r="F92">
        <v>1</v>
      </c>
      <c r="G92">
        <v>9</v>
      </c>
      <c r="H92" t="s">
        <v>26</v>
      </c>
      <c r="I92" t="s">
        <v>27</v>
      </c>
      <c r="J92" t="s">
        <v>22</v>
      </c>
      <c r="K92" t="s">
        <v>28</v>
      </c>
      <c r="L92">
        <v>2025</v>
      </c>
      <c r="M92" t="s">
        <v>24</v>
      </c>
      <c r="N92">
        <v>898.13</v>
      </c>
      <c r="O92">
        <v>12.9</v>
      </c>
      <c r="P92" s="3">
        <v>15.284160601109599</v>
      </c>
      <c r="Q92">
        <v>4.3545379873826873</v>
      </c>
      <c r="R92">
        <v>39.9</v>
      </c>
      <c r="S92">
        <v>22.960716451892409</v>
      </c>
      <c r="T92">
        <f t="shared" si="2"/>
        <v>22.960716451892409</v>
      </c>
    </row>
    <row r="93" spans="1:20" hidden="1" x14ac:dyDescent="0.25">
      <c r="A93" t="s">
        <v>255</v>
      </c>
      <c r="B93">
        <v>4</v>
      </c>
      <c r="C93">
        <v>26</v>
      </c>
      <c r="D93">
        <v>4</v>
      </c>
      <c r="E93">
        <v>6</v>
      </c>
      <c r="F93">
        <v>24</v>
      </c>
      <c r="G93">
        <v>9</v>
      </c>
      <c r="H93" t="s">
        <v>135</v>
      </c>
      <c r="I93" t="s">
        <v>136</v>
      </c>
      <c r="J93" t="s">
        <v>22</v>
      </c>
      <c r="K93" t="s">
        <v>137</v>
      </c>
      <c r="L93">
        <v>2025</v>
      </c>
      <c r="M93" t="s">
        <v>24</v>
      </c>
      <c r="N93">
        <v>1188.43</v>
      </c>
      <c r="O93">
        <v>12.9</v>
      </c>
      <c r="P93" s="3">
        <v>20.224416268442901</v>
      </c>
      <c r="Q93">
        <v>1.0687045183473061</v>
      </c>
      <c r="R93">
        <f>O93+40</f>
        <v>52.9</v>
      </c>
      <c r="S93">
        <v>22.915907582806586</v>
      </c>
      <c r="T93">
        <f t="shared" si="2"/>
        <v>22.915907582806586</v>
      </c>
    </row>
    <row r="94" spans="1:20" hidden="1" x14ac:dyDescent="0.25">
      <c r="A94" t="s">
        <v>87</v>
      </c>
      <c r="B94">
        <v>6</v>
      </c>
      <c r="C94">
        <v>28</v>
      </c>
      <c r="D94">
        <v>1</v>
      </c>
      <c r="E94">
        <v>4</v>
      </c>
      <c r="F94">
        <v>4</v>
      </c>
      <c r="G94">
        <v>9</v>
      </c>
      <c r="H94" t="s">
        <v>88</v>
      </c>
      <c r="I94" t="s">
        <v>89</v>
      </c>
      <c r="J94" t="s">
        <v>22</v>
      </c>
      <c r="K94" t="s">
        <v>90</v>
      </c>
      <c r="L94">
        <v>2025</v>
      </c>
      <c r="M94" t="s">
        <v>24</v>
      </c>
      <c r="N94">
        <v>1215.6500000000001</v>
      </c>
      <c r="O94">
        <v>13.7</v>
      </c>
      <c r="P94" s="3">
        <v>20.497626925867699</v>
      </c>
      <c r="Q94">
        <v>1.1931381320730881</v>
      </c>
      <c r="R94">
        <f>O94+40</f>
        <v>53.7</v>
      </c>
      <c r="S94">
        <v>22.879474077029943</v>
      </c>
      <c r="T94">
        <f t="shared" si="2"/>
        <v>22.879474077029943</v>
      </c>
    </row>
    <row r="95" spans="1:20" hidden="1" x14ac:dyDescent="0.25">
      <c r="A95" t="s">
        <v>176</v>
      </c>
      <c r="B95">
        <v>5</v>
      </c>
      <c r="C95">
        <v>23</v>
      </c>
      <c r="D95">
        <v>2</v>
      </c>
      <c r="E95">
        <v>4</v>
      </c>
      <c r="F95">
        <v>10</v>
      </c>
      <c r="G95">
        <v>11</v>
      </c>
      <c r="H95" t="s">
        <v>147</v>
      </c>
      <c r="I95" t="s">
        <v>148</v>
      </c>
      <c r="J95" t="s">
        <v>22</v>
      </c>
      <c r="K95" t="s">
        <v>149</v>
      </c>
      <c r="L95">
        <v>2025</v>
      </c>
      <c r="M95" t="s">
        <v>24</v>
      </c>
      <c r="N95">
        <v>1188.43</v>
      </c>
      <c r="O95">
        <v>13</v>
      </c>
      <c r="P95" s="3">
        <v>20.201196502348299</v>
      </c>
      <c r="Q95">
        <v>1.326245647969484</v>
      </c>
      <c r="R95">
        <f>O95+40</f>
        <v>53</v>
      </c>
      <c r="S95">
        <v>22.846409780202922</v>
      </c>
      <c r="T95">
        <f t="shared" si="2"/>
        <v>22.846409780202922</v>
      </c>
    </row>
    <row r="96" spans="1:20" hidden="1" x14ac:dyDescent="0.25">
      <c r="A96" t="s">
        <v>178</v>
      </c>
      <c r="B96">
        <v>15</v>
      </c>
      <c r="C96">
        <v>36</v>
      </c>
      <c r="D96">
        <v>2</v>
      </c>
      <c r="E96">
        <v>4</v>
      </c>
      <c r="F96">
        <v>10</v>
      </c>
      <c r="G96">
        <v>13</v>
      </c>
      <c r="H96" t="s">
        <v>58</v>
      </c>
      <c r="I96" t="s">
        <v>21</v>
      </c>
      <c r="J96" t="s">
        <v>22</v>
      </c>
      <c r="K96" t="s">
        <v>59</v>
      </c>
      <c r="L96">
        <v>2025</v>
      </c>
      <c r="M96" t="s">
        <v>24</v>
      </c>
      <c r="N96">
        <v>1261.01</v>
      </c>
      <c r="O96">
        <v>16.8</v>
      </c>
      <c r="P96" s="3">
        <v>20.498689217027099</v>
      </c>
      <c r="Q96">
        <v>2.844675754989753</v>
      </c>
      <c r="R96">
        <v>53.8</v>
      </c>
      <c r="S96">
        <v>22.838130700159891</v>
      </c>
      <c r="T96">
        <f t="shared" si="2"/>
        <v>22.838130700159891</v>
      </c>
    </row>
    <row r="97" spans="1:20" hidden="1" x14ac:dyDescent="0.25">
      <c r="A97" t="s">
        <v>158</v>
      </c>
      <c r="B97">
        <v>16</v>
      </c>
      <c r="C97">
        <v>3</v>
      </c>
      <c r="D97">
        <v>2</v>
      </c>
      <c r="E97">
        <v>1</v>
      </c>
      <c r="F97">
        <v>7</v>
      </c>
      <c r="G97">
        <v>13</v>
      </c>
      <c r="H97" t="s">
        <v>61</v>
      </c>
      <c r="I97" t="s">
        <v>62</v>
      </c>
      <c r="J97" t="s">
        <v>22</v>
      </c>
      <c r="K97" t="s">
        <v>63</v>
      </c>
      <c r="L97">
        <v>2025</v>
      </c>
      <c r="M97" t="s">
        <v>24</v>
      </c>
      <c r="N97">
        <v>1319.98</v>
      </c>
      <c r="O97">
        <v>18.399999999999999</v>
      </c>
      <c r="P97" s="3">
        <v>21.044651775275099</v>
      </c>
      <c r="Q97">
        <v>3.2948642586912511</v>
      </c>
      <c r="R97">
        <v>55.4</v>
      </c>
      <c r="S97">
        <v>22.769249592238058</v>
      </c>
      <c r="T97">
        <f t="shared" si="2"/>
        <v>22.769249592238058</v>
      </c>
    </row>
    <row r="98" spans="1:20" hidden="1" x14ac:dyDescent="0.25">
      <c r="A98" t="s">
        <v>254</v>
      </c>
      <c r="B98">
        <v>17</v>
      </c>
      <c r="C98">
        <v>12</v>
      </c>
      <c r="D98">
        <v>4</v>
      </c>
      <c r="E98">
        <v>6</v>
      </c>
      <c r="F98">
        <v>24</v>
      </c>
      <c r="G98">
        <v>8</v>
      </c>
      <c r="H98" t="s">
        <v>84</v>
      </c>
      <c r="I98" t="s">
        <v>85</v>
      </c>
      <c r="J98" t="s">
        <v>22</v>
      </c>
      <c r="K98" t="s">
        <v>86</v>
      </c>
      <c r="L98">
        <v>2025</v>
      </c>
      <c r="M98" t="s">
        <v>24</v>
      </c>
      <c r="N98">
        <v>1115.8599999999999</v>
      </c>
      <c r="O98">
        <v>13.6</v>
      </c>
      <c r="P98" s="3">
        <v>18.836824280726699</v>
      </c>
      <c r="Q98">
        <v>3.131355676266621</v>
      </c>
      <c r="R98">
        <v>50.6</v>
      </c>
      <c r="S98">
        <v>22.313819118315401</v>
      </c>
      <c r="T98">
        <f t="shared" ref="T98:T129" si="3">IF(N98&lt;= 0, -9, N98/ 453.6 / (R98/ 43560) * ((100 - O98) / (100 - 18)) / 100)</f>
        <v>22.313819118315401</v>
      </c>
    </row>
    <row r="99" spans="1:20" hidden="1" x14ac:dyDescent="0.25">
      <c r="A99" t="s">
        <v>150</v>
      </c>
      <c r="B99">
        <v>5</v>
      </c>
      <c r="C99">
        <v>33</v>
      </c>
      <c r="D99">
        <v>1</v>
      </c>
      <c r="E99">
        <v>6</v>
      </c>
      <c r="F99">
        <v>6</v>
      </c>
      <c r="G99">
        <v>13</v>
      </c>
      <c r="H99" t="s">
        <v>151</v>
      </c>
      <c r="I99" t="s">
        <v>66</v>
      </c>
      <c r="J99" t="s">
        <v>22</v>
      </c>
      <c r="K99" t="s">
        <v>152</v>
      </c>
      <c r="L99">
        <v>2025</v>
      </c>
      <c r="M99" t="s">
        <v>24</v>
      </c>
      <c r="N99">
        <v>1338.12</v>
      </c>
      <c r="O99">
        <v>17.899999999999999</v>
      </c>
      <c r="P99" s="3">
        <v>21.464582875558499</v>
      </c>
      <c r="Q99">
        <v>1.3228013498609801</v>
      </c>
      <c r="R99">
        <f>O99+40</f>
        <v>57.9</v>
      </c>
      <c r="S99">
        <v>22.220847971692148</v>
      </c>
      <c r="T99">
        <f t="shared" si="3"/>
        <v>22.220847971692148</v>
      </c>
    </row>
    <row r="100" spans="1:20" hidden="1" x14ac:dyDescent="0.25">
      <c r="A100" t="s">
        <v>186</v>
      </c>
      <c r="B100">
        <v>4</v>
      </c>
      <c r="C100">
        <v>10</v>
      </c>
      <c r="D100">
        <v>2</v>
      </c>
      <c r="E100">
        <v>6</v>
      </c>
      <c r="F100">
        <v>12</v>
      </c>
      <c r="G100">
        <v>10</v>
      </c>
      <c r="H100" t="s">
        <v>46</v>
      </c>
      <c r="I100" t="s">
        <v>47</v>
      </c>
      <c r="J100" t="s">
        <v>22</v>
      </c>
      <c r="K100" t="s">
        <v>48</v>
      </c>
      <c r="L100">
        <v>2025</v>
      </c>
      <c r="M100" t="s">
        <v>24</v>
      </c>
      <c r="N100">
        <v>1152.1400000000001</v>
      </c>
      <c r="O100">
        <v>12.9</v>
      </c>
      <c r="P100" s="3">
        <v>19.6068417656268</v>
      </c>
      <c r="Q100">
        <v>1.0283956126798051</v>
      </c>
      <c r="R100">
        <f>O100+40</f>
        <v>52.9</v>
      </c>
      <c r="S100">
        <v>22.216145471298081</v>
      </c>
      <c r="T100">
        <f t="shared" si="3"/>
        <v>22.216145471298081</v>
      </c>
    </row>
    <row r="101" spans="1:20" hidden="1" x14ac:dyDescent="0.25">
      <c r="A101" t="s">
        <v>99</v>
      </c>
      <c r="B101">
        <v>6</v>
      </c>
      <c r="C101">
        <v>31</v>
      </c>
      <c r="D101">
        <v>1</v>
      </c>
      <c r="E101">
        <v>4</v>
      </c>
      <c r="F101">
        <v>4</v>
      </c>
      <c r="G101">
        <v>12</v>
      </c>
      <c r="H101" t="s">
        <v>100</v>
      </c>
      <c r="I101" t="s">
        <v>101</v>
      </c>
      <c r="J101" t="s">
        <v>22</v>
      </c>
      <c r="K101" t="s">
        <v>102</v>
      </c>
      <c r="L101">
        <v>2025</v>
      </c>
      <c r="M101" t="s">
        <v>24</v>
      </c>
      <c r="N101">
        <v>1360.8</v>
      </c>
      <c r="O101">
        <v>18.5</v>
      </c>
      <c r="P101" s="3">
        <v>21.6688639859372</v>
      </c>
      <c r="Q101">
        <v>1.435714107849575</v>
      </c>
      <c r="R101">
        <f>O101+40</f>
        <v>58.5</v>
      </c>
      <c r="S101">
        <v>22.202251407129452</v>
      </c>
      <c r="T101">
        <f t="shared" si="3"/>
        <v>22.202251407129452</v>
      </c>
    </row>
    <row r="102" spans="1:20" hidden="1" x14ac:dyDescent="0.25">
      <c r="A102" t="s">
        <v>199</v>
      </c>
      <c r="B102">
        <v>17</v>
      </c>
      <c r="C102">
        <v>30</v>
      </c>
      <c r="D102">
        <v>3</v>
      </c>
      <c r="E102">
        <v>2</v>
      </c>
      <c r="F102">
        <v>14</v>
      </c>
      <c r="G102">
        <v>12</v>
      </c>
      <c r="H102" t="s">
        <v>30</v>
      </c>
      <c r="I102" t="s">
        <v>31</v>
      </c>
      <c r="J102" t="s">
        <v>22</v>
      </c>
      <c r="K102" t="s">
        <v>32</v>
      </c>
      <c r="L102">
        <v>2025</v>
      </c>
      <c r="M102" t="s">
        <v>24</v>
      </c>
      <c r="N102">
        <v>1301.83</v>
      </c>
      <c r="O102">
        <v>18.899999999999999</v>
      </c>
      <c r="P102" s="3">
        <v>20.6281064472008</v>
      </c>
      <c r="Q102">
        <v>3.067579344360607</v>
      </c>
      <c r="R102">
        <v>55.9</v>
      </c>
      <c r="S102">
        <v>22.11893918506652</v>
      </c>
      <c r="T102">
        <f t="shared" si="3"/>
        <v>22.11893918506652</v>
      </c>
    </row>
    <row r="103" spans="1:20" hidden="1" x14ac:dyDescent="0.25">
      <c r="A103" t="s">
        <v>241</v>
      </c>
      <c r="B103">
        <v>12</v>
      </c>
      <c r="C103">
        <v>22</v>
      </c>
      <c r="D103">
        <v>4</v>
      </c>
      <c r="E103">
        <v>3</v>
      </c>
      <c r="F103">
        <v>21</v>
      </c>
      <c r="G103">
        <v>13</v>
      </c>
      <c r="H103" t="s">
        <v>119</v>
      </c>
      <c r="I103" t="s">
        <v>120</v>
      </c>
      <c r="J103" t="s">
        <v>22</v>
      </c>
      <c r="K103" t="s">
        <v>121</v>
      </c>
      <c r="L103">
        <v>2025</v>
      </c>
      <c r="M103" t="s">
        <v>24</v>
      </c>
      <c r="N103">
        <v>1161.22</v>
      </c>
      <c r="O103">
        <v>17.8</v>
      </c>
      <c r="P103" s="3">
        <v>18.649644553574099</v>
      </c>
      <c r="Q103">
        <v>2.3725802082764882</v>
      </c>
      <c r="R103">
        <f>O103+33</f>
        <v>50.8</v>
      </c>
      <c r="S103">
        <v>22.005112097268334</v>
      </c>
      <c r="T103">
        <f t="shared" si="3"/>
        <v>22.005112097268334</v>
      </c>
    </row>
    <row r="104" spans="1:20" hidden="1" x14ac:dyDescent="0.25">
      <c r="A104" t="s">
        <v>233</v>
      </c>
      <c r="B104">
        <v>6</v>
      </c>
      <c r="C104">
        <v>19</v>
      </c>
      <c r="D104">
        <v>4</v>
      </c>
      <c r="E104">
        <v>2</v>
      </c>
      <c r="F104">
        <v>20</v>
      </c>
      <c r="G104">
        <v>10</v>
      </c>
      <c r="H104" t="s">
        <v>131</v>
      </c>
      <c r="I104" t="s">
        <v>132</v>
      </c>
      <c r="J104" t="s">
        <v>22</v>
      </c>
      <c r="K104" t="s">
        <v>133</v>
      </c>
      <c r="L104">
        <v>2025</v>
      </c>
      <c r="M104" t="s">
        <v>24</v>
      </c>
      <c r="N104">
        <v>1265.54</v>
      </c>
      <c r="O104">
        <v>16.399999999999999</v>
      </c>
      <c r="P104" s="3">
        <v>20.6712332799957</v>
      </c>
      <c r="Q104">
        <v>1.385598780212058</v>
      </c>
      <c r="R104">
        <f>O104+40</f>
        <v>56.4</v>
      </c>
      <c r="S104">
        <v>21.968683028420958</v>
      </c>
      <c r="T104">
        <f t="shared" si="3"/>
        <v>21.968683028420958</v>
      </c>
    </row>
    <row r="105" spans="1:20" hidden="1" x14ac:dyDescent="0.25">
      <c r="A105" t="s">
        <v>29</v>
      </c>
      <c r="B105">
        <v>12</v>
      </c>
      <c r="C105">
        <v>30</v>
      </c>
      <c r="D105">
        <v>1</v>
      </c>
      <c r="E105">
        <v>1</v>
      </c>
      <c r="F105">
        <v>1</v>
      </c>
      <c r="G105">
        <v>10</v>
      </c>
      <c r="H105" t="s">
        <v>30</v>
      </c>
      <c r="I105" t="s">
        <v>31</v>
      </c>
      <c r="J105" t="s">
        <v>22</v>
      </c>
      <c r="K105" t="s">
        <v>32</v>
      </c>
      <c r="L105">
        <v>2025</v>
      </c>
      <c r="M105" t="s">
        <v>24</v>
      </c>
      <c r="N105">
        <v>1138.54</v>
      </c>
      <c r="O105">
        <v>15.05</v>
      </c>
      <c r="P105" s="3">
        <v>18.897132603309199</v>
      </c>
      <c r="Q105">
        <v>2.7792427736733578</v>
      </c>
      <c r="R105">
        <v>52.05</v>
      </c>
      <c r="S105">
        <v>21.761654721274812</v>
      </c>
      <c r="T105">
        <f t="shared" si="3"/>
        <v>21.761654721274812</v>
      </c>
    </row>
    <row r="106" spans="1:20" hidden="1" x14ac:dyDescent="0.25">
      <c r="A106" t="s">
        <v>91</v>
      </c>
      <c r="B106">
        <v>7</v>
      </c>
      <c r="C106">
        <v>20</v>
      </c>
      <c r="D106">
        <v>1</v>
      </c>
      <c r="E106">
        <v>4</v>
      </c>
      <c r="F106">
        <v>4</v>
      </c>
      <c r="G106">
        <v>10</v>
      </c>
      <c r="H106" t="s">
        <v>92</v>
      </c>
      <c r="I106" t="s">
        <v>93</v>
      </c>
      <c r="J106" t="s">
        <v>22</v>
      </c>
      <c r="K106" t="s">
        <v>94</v>
      </c>
      <c r="L106">
        <v>2025</v>
      </c>
      <c r="M106" t="s">
        <v>24</v>
      </c>
      <c r="N106">
        <v>1115.8599999999999</v>
      </c>
      <c r="O106">
        <v>12.6</v>
      </c>
      <c r="P106" s="3">
        <v>19.0548430802722</v>
      </c>
      <c r="Q106">
        <v>1.4389254113024521</v>
      </c>
      <c r="R106">
        <f>O106+40</f>
        <v>52.6</v>
      </c>
      <c r="S106">
        <v>21.713826886530672</v>
      </c>
      <c r="T106">
        <f t="shared" si="3"/>
        <v>21.713826886530672</v>
      </c>
    </row>
    <row r="107" spans="1:20" hidden="1" x14ac:dyDescent="0.25">
      <c r="A107" t="s">
        <v>213</v>
      </c>
      <c r="B107">
        <v>15</v>
      </c>
      <c r="C107">
        <v>19</v>
      </c>
      <c r="D107">
        <v>3</v>
      </c>
      <c r="E107">
        <v>5</v>
      </c>
      <c r="F107">
        <v>17</v>
      </c>
      <c r="G107">
        <v>8</v>
      </c>
      <c r="H107" t="s">
        <v>131</v>
      </c>
      <c r="I107" t="s">
        <v>132</v>
      </c>
      <c r="J107" t="s">
        <v>22</v>
      </c>
      <c r="K107" t="s">
        <v>133</v>
      </c>
      <c r="L107">
        <v>2025</v>
      </c>
      <c r="M107" t="s">
        <v>24</v>
      </c>
      <c r="N107">
        <v>1075.03</v>
      </c>
      <c r="O107">
        <v>13.4</v>
      </c>
      <c r="P107" s="3">
        <v>18.189581628989899</v>
      </c>
      <c r="Q107">
        <v>3.2369153864634521</v>
      </c>
      <c r="R107">
        <v>50.4</v>
      </c>
      <c r="S107">
        <v>21.632609580191598</v>
      </c>
      <c r="T107">
        <f t="shared" si="3"/>
        <v>21.632609580191598</v>
      </c>
    </row>
    <row r="108" spans="1:20" hidden="1" x14ac:dyDescent="0.25">
      <c r="A108" t="s">
        <v>184</v>
      </c>
      <c r="B108">
        <v>13</v>
      </c>
      <c r="C108">
        <v>6</v>
      </c>
      <c r="D108">
        <v>2</v>
      </c>
      <c r="E108">
        <v>6</v>
      </c>
      <c r="F108">
        <v>12</v>
      </c>
      <c r="G108">
        <v>8</v>
      </c>
      <c r="H108" t="s">
        <v>143</v>
      </c>
      <c r="I108" t="s">
        <v>144</v>
      </c>
      <c r="J108" t="s">
        <v>22</v>
      </c>
      <c r="K108" t="s">
        <v>145</v>
      </c>
      <c r="L108">
        <v>2025</v>
      </c>
      <c r="M108" t="s">
        <v>24</v>
      </c>
      <c r="N108">
        <v>1047.82</v>
      </c>
      <c r="O108">
        <v>12.7</v>
      </c>
      <c r="P108" s="3">
        <v>17.8724940678193</v>
      </c>
      <c r="Q108">
        <v>2.7831090956912861</v>
      </c>
      <c r="R108">
        <v>49.7</v>
      </c>
      <c r="S108">
        <v>21.554875139337764</v>
      </c>
      <c r="T108">
        <f t="shared" si="3"/>
        <v>21.554875139337764</v>
      </c>
    </row>
    <row r="109" spans="1:20" hidden="1" x14ac:dyDescent="0.25">
      <c r="A109" t="s">
        <v>221</v>
      </c>
      <c r="B109">
        <v>24</v>
      </c>
      <c r="C109">
        <v>24</v>
      </c>
      <c r="D109">
        <v>3</v>
      </c>
      <c r="E109">
        <v>6</v>
      </c>
      <c r="F109">
        <v>18</v>
      </c>
      <c r="G109">
        <v>10</v>
      </c>
      <c r="H109" t="s">
        <v>123</v>
      </c>
      <c r="I109" t="s">
        <v>124</v>
      </c>
      <c r="J109" t="s">
        <v>22</v>
      </c>
      <c r="K109" t="s">
        <v>125</v>
      </c>
      <c r="L109">
        <v>2025</v>
      </c>
      <c r="M109" t="s">
        <v>24</v>
      </c>
      <c r="N109">
        <v>1070.5</v>
      </c>
      <c r="O109">
        <v>14.1</v>
      </c>
      <c r="P109" s="3">
        <v>17.966524322102501</v>
      </c>
      <c r="Q109">
        <v>3.128952809458045</v>
      </c>
      <c r="R109">
        <v>51.1</v>
      </c>
      <c r="S109">
        <v>21.074627551209812</v>
      </c>
      <c r="T109">
        <f t="shared" si="3"/>
        <v>21.074627551209812</v>
      </c>
    </row>
    <row r="110" spans="1:20" hidden="1" x14ac:dyDescent="0.25">
      <c r="A110" t="s">
        <v>224</v>
      </c>
      <c r="B110">
        <v>24</v>
      </c>
      <c r="C110">
        <v>14</v>
      </c>
      <c r="D110">
        <v>3</v>
      </c>
      <c r="E110">
        <v>6</v>
      </c>
      <c r="F110">
        <v>18</v>
      </c>
      <c r="G110">
        <v>13</v>
      </c>
      <c r="H110" t="s">
        <v>127</v>
      </c>
      <c r="I110" t="s">
        <v>128</v>
      </c>
      <c r="J110" t="s">
        <v>22</v>
      </c>
      <c r="K110" t="s">
        <v>129</v>
      </c>
      <c r="L110">
        <v>2025</v>
      </c>
      <c r="M110" t="s">
        <v>24</v>
      </c>
      <c r="N110">
        <v>957.1</v>
      </c>
      <c r="O110">
        <v>17.100000000000001</v>
      </c>
      <c r="P110" s="3">
        <v>15.502297997442501</v>
      </c>
      <c r="Q110">
        <v>4.0094573073727258</v>
      </c>
      <c r="R110">
        <v>44.1</v>
      </c>
      <c r="S110">
        <v>21.070470339381068</v>
      </c>
      <c r="T110">
        <f t="shared" si="3"/>
        <v>21.070470339381068</v>
      </c>
    </row>
    <row r="111" spans="1:20" hidden="1" x14ac:dyDescent="0.25">
      <c r="A111" t="s">
        <v>64</v>
      </c>
      <c r="B111">
        <v>8</v>
      </c>
      <c r="C111">
        <v>34</v>
      </c>
      <c r="D111">
        <v>1</v>
      </c>
      <c r="E111">
        <v>3</v>
      </c>
      <c r="F111">
        <v>3</v>
      </c>
      <c r="G111">
        <v>8</v>
      </c>
      <c r="H111" t="s">
        <v>65</v>
      </c>
      <c r="I111" t="s">
        <v>66</v>
      </c>
      <c r="J111" t="s">
        <v>22</v>
      </c>
      <c r="K111" t="s">
        <v>67</v>
      </c>
      <c r="L111">
        <v>2025</v>
      </c>
      <c r="M111" t="s">
        <v>24</v>
      </c>
      <c r="N111">
        <v>1038.74</v>
      </c>
      <c r="O111">
        <v>13.3</v>
      </c>
      <c r="P111" s="3">
        <v>17.595847425047999</v>
      </c>
      <c r="Q111">
        <v>1.9096965940126409</v>
      </c>
      <c r="R111">
        <f>O111+37</f>
        <v>50.3</v>
      </c>
      <c r="S111">
        <v>20.968093333148612</v>
      </c>
      <c r="T111">
        <f t="shared" si="3"/>
        <v>20.968093333148612</v>
      </c>
    </row>
    <row r="112" spans="1:20" hidden="1" x14ac:dyDescent="0.25">
      <c r="A112" t="s">
        <v>185</v>
      </c>
      <c r="B112">
        <v>6</v>
      </c>
      <c r="C112">
        <v>4</v>
      </c>
      <c r="D112">
        <v>2</v>
      </c>
      <c r="E112">
        <v>6</v>
      </c>
      <c r="F112">
        <v>12</v>
      </c>
      <c r="G112">
        <v>9</v>
      </c>
      <c r="H112" t="s">
        <v>107</v>
      </c>
      <c r="I112" t="s">
        <v>108</v>
      </c>
      <c r="J112" t="s">
        <v>22</v>
      </c>
      <c r="K112" t="s">
        <v>109</v>
      </c>
      <c r="L112">
        <v>2025</v>
      </c>
      <c r="M112" t="s">
        <v>24</v>
      </c>
      <c r="N112">
        <v>1111.32</v>
      </c>
      <c r="O112">
        <v>13.7</v>
      </c>
      <c r="P112" s="3">
        <v>18.7384713982275</v>
      </c>
      <c r="Q112">
        <v>1.458538153860486</v>
      </c>
      <c r="R112">
        <f>O112+40</f>
        <v>53.7</v>
      </c>
      <c r="S112">
        <v>20.915902711541079</v>
      </c>
      <c r="T112">
        <f t="shared" si="3"/>
        <v>20.915902711541079</v>
      </c>
    </row>
    <row r="113" spans="1:20" hidden="1" x14ac:dyDescent="0.25">
      <c r="A113" t="s">
        <v>232</v>
      </c>
      <c r="B113">
        <v>26</v>
      </c>
      <c r="C113">
        <v>21</v>
      </c>
      <c r="D113">
        <v>4</v>
      </c>
      <c r="E113">
        <v>2</v>
      </c>
      <c r="F113">
        <v>20</v>
      </c>
      <c r="G113">
        <v>9</v>
      </c>
      <c r="H113" t="s">
        <v>54</v>
      </c>
      <c r="I113" t="s">
        <v>55</v>
      </c>
      <c r="J113" t="s">
        <v>22</v>
      </c>
      <c r="K113" t="s">
        <v>56</v>
      </c>
      <c r="L113">
        <v>2025</v>
      </c>
      <c r="M113" t="s">
        <v>24</v>
      </c>
      <c r="N113">
        <v>848.23</v>
      </c>
      <c r="O113">
        <v>13.9</v>
      </c>
      <c r="P113" s="3">
        <v>14.269245634523401</v>
      </c>
      <c r="Q113">
        <v>4.1688757354421231</v>
      </c>
      <c r="R113">
        <v>40.9</v>
      </c>
      <c r="S113">
        <v>20.911945802770983</v>
      </c>
      <c r="T113">
        <f t="shared" si="3"/>
        <v>20.911945802770983</v>
      </c>
    </row>
    <row r="114" spans="1:20" hidden="1" x14ac:dyDescent="0.25">
      <c r="A114" t="s">
        <v>246</v>
      </c>
      <c r="B114">
        <v>16</v>
      </c>
      <c r="C114">
        <v>6</v>
      </c>
      <c r="D114">
        <v>4</v>
      </c>
      <c r="E114">
        <v>4</v>
      </c>
      <c r="F114">
        <v>22</v>
      </c>
      <c r="G114">
        <v>12</v>
      </c>
      <c r="H114" t="s">
        <v>143</v>
      </c>
      <c r="I114" t="s">
        <v>144</v>
      </c>
      <c r="J114" t="s">
        <v>22</v>
      </c>
      <c r="K114" t="s">
        <v>145</v>
      </c>
      <c r="L114">
        <v>2025</v>
      </c>
      <c r="M114" t="s">
        <v>24</v>
      </c>
      <c r="N114">
        <v>1174.82</v>
      </c>
      <c r="O114">
        <v>17.5</v>
      </c>
      <c r="P114" s="3">
        <v>18.936927393905702</v>
      </c>
      <c r="Q114">
        <v>3.07441419716673</v>
      </c>
      <c r="R114">
        <v>54.5</v>
      </c>
      <c r="S114">
        <v>20.827145467719419</v>
      </c>
      <c r="T114">
        <f t="shared" si="3"/>
        <v>20.827145467719419</v>
      </c>
    </row>
    <row r="115" spans="1:20" hidden="1" x14ac:dyDescent="0.25">
      <c r="A115" t="s">
        <v>126</v>
      </c>
      <c r="B115">
        <v>21</v>
      </c>
      <c r="C115">
        <v>14</v>
      </c>
      <c r="D115">
        <v>1</v>
      </c>
      <c r="E115">
        <v>5</v>
      </c>
      <c r="F115">
        <v>5</v>
      </c>
      <c r="G115">
        <v>13</v>
      </c>
      <c r="H115" t="s">
        <v>127</v>
      </c>
      <c r="I115" t="s">
        <v>128</v>
      </c>
      <c r="J115" t="s">
        <v>22</v>
      </c>
      <c r="K115" t="s">
        <v>129</v>
      </c>
      <c r="L115">
        <v>2025</v>
      </c>
      <c r="M115" t="s">
        <v>24</v>
      </c>
      <c r="N115">
        <v>1165.75</v>
      </c>
      <c r="O115">
        <v>17.3</v>
      </c>
      <c r="P115" s="3">
        <v>18.8362813145446</v>
      </c>
      <c r="Q115">
        <v>3.5571043269170279</v>
      </c>
      <c r="R115">
        <v>54.3</v>
      </c>
      <c r="S115">
        <v>20.792756942795688</v>
      </c>
      <c r="T115">
        <f t="shared" si="3"/>
        <v>20.792756942795688</v>
      </c>
    </row>
    <row r="116" spans="1:20" hidden="1" x14ac:dyDescent="0.25">
      <c r="A116" t="s">
        <v>155</v>
      </c>
      <c r="B116">
        <v>19</v>
      </c>
      <c r="C116">
        <v>12</v>
      </c>
      <c r="D116">
        <v>2</v>
      </c>
      <c r="E116">
        <v>1</v>
      </c>
      <c r="F116">
        <v>7</v>
      </c>
      <c r="G116">
        <v>10</v>
      </c>
      <c r="H116" t="s">
        <v>84</v>
      </c>
      <c r="I116" t="s">
        <v>85</v>
      </c>
      <c r="J116" t="s">
        <v>22</v>
      </c>
      <c r="K116" t="s">
        <v>86</v>
      </c>
      <c r="L116">
        <v>2025</v>
      </c>
      <c r="M116" t="s">
        <v>24</v>
      </c>
      <c r="N116">
        <v>1038.74</v>
      </c>
      <c r="O116">
        <v>13.7</v>
      </c>
      <c r="P116" s="3">
        <v>17.514667044770899</v>
      </c>
      <c r="Q116">
        <v>3.501594851237718</v>
      </c>
      <c r="R116">
        <v>50.7</v>
      </c>
      <c r="S116">
        <v>20.706689204409653</v>
      </c>
      <c r="T116">
        <f t="shared" si="3"/>
        <v>20.706689204409653</v>
      </c>
    </row>
    <row r="117" spans="1:20" hidden="1" x14ac:dyDescent="0.25">
      <c r="A117" t="s">
        <v>181</v>
      </c>
      <c r="B117">
        <v>4</v>
      </c>
      <c r="C117">
        <v>31</v>
      </c>
      <c r="D117">
        <v>2</v>
      </c>
      <c r="E117">
        <v>5</v>
      </c>
      <c r="F117">
        <v>11</v>
      </c>
      <c r="G117">
        <v>10</v>
      </c>
      <c r="H117" t="s">
        <v>100</v>
      </c>
      <c r="I117" t="s">
        <v>101</v>
      </c>
      <c r="J117" t="s">
        <v>22</v>
      </c>
      <c r="K117" t="s">
        <v>102</v>
      </c>
      <c r="L117">
        <v>2025</v>
      </c>
      <c r="M117" t="s">
        <v>24</v>
      </c>
      <c r="N117">
        <v>1106.78</v>
      </c>
      <c r="O117">
        <v>13.9</v>
      </c>
      <c r="P117" s="3">
        <v>18.618671449227001</v>
      </c>
      <c r="Q117">
        <v>0.85343956112542474</v>
      </c>
      <c r="R117">
        <f>O117+40</f>
        <v>53.9</v>
      </c>
      <c r="S117">
        <v>20.705068027210881</v>
      </c>
      <c r="T117">
        <f t="shared" si="3"/>
        <v>20.705068027210881</v>
      </c>
    </row>
    <row r="118" spans="1:20" hidden="1" x14ac:dyDescent="0.25">
      <c r="A118" t="s">
        <v>237</v>
      </c>
      <c r="B118">
        <v>18</v>
      </c>
      <c r="C118">
        <v>11</v>
      </c>
      <c r="D118">
        <v>4</v>
      </c>
      <c r="E118">
        <v>3</v>
      </c>
      <c r="F118">
        <v>21</v>
      </c>
      <c r="G118">
        <v>8</v>
      </c>
      <c r="H118" t="s">
        <v>69</v>
      </c>
      <c r="I118" t="s">
        <v>70</v>
      </c>
      <c r="J118" t="s">
        <v>22</v>
      </c>
      <c r="K118" t="s">
        <v>71</v>
      </c>
      <c r="L118">
        <v>2025</v>
      </c>
      <c r="M118" t="s">
        <v>24</v>
      </c>
      <c r="N118">
        <v>1076.6199999999999</v>
      </c>
      <c r="O118">
        <v>15</v>
      </c>
      <c r="P118" s="3">
        <v>17.879921313751499</v>
      </c>
      <c r="Q118">
        <v>3.1355598342760458</v>
      </c>
      <c r="R118">
        <v>52</v>
      </c>
      <c r="S118">
        <v>20.610047760505076</v>
      </c>
      <c r="T118">
        <f t="shared" si="3"/>
        <v>20.610047760505076</v>
      </c>
    </row>
    <row r="119" spans="1:20" hidden="1" x14ac:dyDescent="0.25">
      <c r="A119" t="s">
        <v>259</v>
      </c>
      <c r="B119">
        <v>15</v>
      </c>
      <c r="C119">
        <v>14</v>
      </c>
      <c r="D119">
        <v>4</v>
      </c>
      <c r="E119">
        <v>6</v>
      </c>
      <c r="F119">
        <v>24</v>
      </c>
      <c r="G119">
        <v>13</v>
      </c>
      <c r="H119" t="s">
        <v>127</v>
      </c>
      <c r="I119" t="s">
        <v>128</v>
      </c>
      <c r="J119" t="s">
        <v>22</v>
      </c>
      <c r="K119" t="s">
        <v>129</v>
      </c>
      <c r="L119">
        <v>2025</v>
      </c>
      <c r="M119" t="s">
        <v>24</v>
      </c>
      <c r="N119">
        <v>1102.25</v>
      </c>
      <c r="O119">
        <v>15.9</v>
      </c>
      <c r="P119" s="3">
        <v>18.111746772259401</v>
      </c>
      <c r="Q119">
        <v>2.897826393276663</v>
      </c>
      <c r="R119">
        <v>52.9</v>
      </c>
      <c r="S119">
        <v>20.522081314352167</v>
      </c>
      <c r="T119">
        <f t="shared" si="3"/>
        <v>20.522081314352167</v>
      </c>
    </row>
    <row r="120" spans="1:20" hidden="1" x14ac:dyDescent="0.25">
      <c r="A120" t="s">
        <v>205</v>
      </c>
      <c r="B120">
        <v>10</v>
      </c>
      <c r="C120">
        <v>28</v>
      </c>
      <c r="D120">
        <v>3</v>
      </c>
      <c r="E120">
        <v>3</v>
      </c>
      <c r="F120">
        <v>15</v>
      </c>
      <c r="G120">
        <v>12</v>
      </c>
      <c r="H120" t="s">
        <v>88</v>
      </c>
      <c r="I120" t="s">
        <v>89</v>
      </c>
      <c r="J120" t="s">
        <v>22</v>
      </c>
      <c r="K120" t="s">
        <v>90</v>
      </c>
      <c r="L120">
        <v>2025</v>
      </c>
      <c r="M120" t="s">
        <v>24</v>
      </c>
      <c r="N120">
        <v>1188.43</v>
      </c>
      <c r="O120">
        <v>18.5</v>
      </c>
      <c r="P120" s="3">
        <v>18.9241093671423</v>
      </c>
      <c r="Q120">
        <v>1.9294991368160761</v>
      </c>
      <c r="R120">
        <f>O120+37</f>
        <v>55.5</v>
      </c>
      <c r="S120">
        <v>20.438038116513731</v>
      </c>
      <c r="T120">
        <f t="shared" si="3"/>
        <v>20.438038116513731</v>
      </c>
    </row>
    <row r="121" spans="1:20" hidden="1" x14ac:dyDescent="0.25">
      <c r="A121" t="s">
        <v>174</v>
      </c>
      <c r="B121">
        <v>20</v>
      </c>
      <c r="C121">
        <v>17</v>
      </c>
      <c r="D121">
        <v>2</v>
      </c>
      <c r="E121">
        <v>4</v>
      </c>
      <c r="F121">
        <v>10</v>
      </c>
      <c r="G121">
        <v>9</v>
      </c>
      <c r="H121" t="s">
        <v>96</v>
      </c>
      <c r="I121" t="s">
        <v>97</v>
      </c>
      <c r="J121" t="s">
        <v>22</v>
      </c>
      <c r="K121" t="s">
        <v>98</v>
      </c>
      <c r="L121">
        <v>2025</v>
      </c>
      <c r="M121" t="s">
        <v>24</v>
      </c>
      <c r="N121">
        <v>1011.53</v>
      </c>
      <c r="O121">
        <v>13.4</v>
      </c>
      <c r="P121" s="3">
        <v>17.115157256236799</v>
      </c>
      <c r="Q121">
        <v>3.5039333187516259</v>
      </c>
      <c r="R121">
        <v>50.4</v>
      </c>
      <c r="S121">
        <v>20.354812022595844</v>
      </c>
      <c r="T121">
        <f t="shared" si="3"/>
        <v>20.354812022595844</v>
      </c>
    </row>
    <row r="122" spans="1:20" hidden="1" x14ac:dyDescent="0.25">
      <c r="A122" t="s">
        <v>253</v>
      </c>
      <c r="B122">
        <v>8</v>
      </c>
      <c r="C122">
        <v>24</v>
      </c>
      <c r="D122">
        <v>4</v>
      </c>
      <c r="E122">
        <v>5</v>
      </c>
      <c r="F122">
        <v>23</v>
      </c>
      <c r="G122">
        <v>13</v>
      </c>
      <c r="H122" t="s">
        <v>123</v>
      </c>
      <c r="I122" t="s">
        <v>124</v>
      </c>
      <c r="J122" t="s">
        <v>22</v>
      </c>
      <c r="K122" t="s">
        <v>125</v>
      </c>
      <c r="L122">
        <v>2025</v>
      </c>
      <c r="M122" t="s">
        <v>24</v>
      </c>
      <c r="N122">
        <v>1129.46</v>
      </c>
      <c r="O122">
        <v>17.2</v>
      </c>
      <c r="P122" s="3">
        <v>18.271972204492499</v>
      </c>
      <c r="Q122">
        <v>1.8544418553916391</v>
      </c>
      <c r="R122">
        <f>O122+37</f>
        <v>54.2</v>
      </c>
      <c r="S122">
        <v>20.20704822762513</v>
      </c>
      <c r="T122">
        <f t="shared" si="3"/>
        <v>20.20704822762513</v>
      </c>
    </row>
    <row r="123" spans="1:20" hidden="1" x14ac:dyDescent="0.25">
      <c r="A123" t="s">
        <v>179</v>
      </c>
      <c r="B123">
        <v>5</v>
      </c>
      <c r="C123">
        <v>22</v>
      </c>
      <c r="D123">
        <v>2</v>
      </c>
      <c r="E123">
        <v>5</v>
      </c>
      <c r="F123">
        <v>11</v>
      </c>
      <c r="G123">
        <v>8</v>
      </c>
      <c r="H123" t="s">
        <v>119</v>
      </c>
      <c r="I123" t="s">
        <v>120</v>
      </c>
      <c r="J123" t="s">
        <v>22</v>
      </c>
      <c r="K123" t="s">
        <v>121</v>
      </c>
      <c r="L123">
        <v>2025</v>
      </c>
      <c r="M123" t="s">
        <v>24</v>
      </c>
      <c r="N123">
        <v>1070.5</v>
      </c>
      <c r="O123">
        <v>13.7</v>
      </c>
      <c r="P123" s="3">
        <v>18.050186833497602</v>
      </c>
      <c r="Q123">
        <v>0.92217500482702919</v>
      </c>
      <c r="R123">
        <f>O123+40</f>
        <v>53.7</v>
      </c>
      <c r="S123">
        <v>20.147638711356517</v>
      </c>
      <c r="T123">
        <f t="shared" si="3"/>
        <v>20.147638711356517</v>
      </c>
    </row>
    <row r="124" spans="1:20" hidden="1" x14ac:dyDescent="0.25">
      <c r="A124" t="s">
        <v>41</v>
      </c>
      <c r="B124">
        <v>14</v>
      </c>
      <c r="C124">
        <v>27</v>
      </c>
      <c r="D124">
        <v>1</v>
      </c>
      <c r="E124">
        <v>1</v>
      </c>
      <c r="F124">
        <v>1</v>
      </c>
      <c r="G124">
        <v>13</v>
      </c>
      <c r="H124" t="s">
        <v>42</v>
      </c>
      <c r="I124" t="s">
        <v>43</v>
      </c>
      <c r="J124" t="s">
        <v>22</v>
      </c>
      <c r="K124" t="s">
        <v>44</v>
      </c>
      <c r="L124">
        <v>2025</v>
      </c>
      <c r="M124" t="s">
        <v>24</v>
      </c>
      <c r="N124">
        <v>1115.8599999999999</v>
      </c>
      <c r="O124">
        <v>17</v>
      </c>
      <c r="P124" s="3">
        <v>18.095560362272199</v>
      </c>
      <c r="Q124">
        <v>3.0531157882746238</v>
      </c>
      <c r="R124">
        <v>54</v>
      </c>
      <c r="S124">
        <v>20.08607200212213</v>
      </c>
      <c r="T124">
        <f t="shared" si="3"/>
        <v>20.08607200212213</v>
      </c>
    </row>
    <row r="125" spans="1:20" hidden="1" x14ac:dyDescent="0.25">
      <c r="A125" t="s">
        <v>251</v>
      </c>
      <c r="B125">
        <v>7</v>
      </c>
      <c r="C125">
        <v>20</v>
      </c>
      <c r="D125">
        <v>4</v>
      </c>
      <c r="E125">
        <v>5</v>
      </c>
      <c r="F125">
        <v>23</v>
      </c>
      <c r="G125">
        <v>11</v>
      </c>
      <c r="H125" t="s">
        <v>92</v>
      </c>
      <c r="I125" t="s">
        <v>93</v>
      </c>
      <c r="J125" t="s">
        <v>22</v>
      </c>
      <c r="K125" t="s">
        <v>94</v>
      </c>
      <c r="L125">
        <v>2025</v>
      </c>
      <c r="M125" t="s">
        <v>24</v>
      </c>
      <c r="N125">
        <v>1056.8900000000001</v>
      </c>
      <c r="O125">
        <v>14</v>
      </c>
      <c r="P125" s="3">
        <v>17.758753300984601</v>
      </c>
      <c r="Q125">
        <v>1.6774827118214219</v>
      </c>
      <c r="R125">
        <f>O125+39</f>
        <v>53</v>
      </c>
      <c r="S125">
        <v>20.084144770962535</v>
      </c>
      <c r="T125">
        <f t="shared" si="3"/>
        <v>20.084144770962535</v>
      </c>
    </row>
    <row r="126" spans="1:20" hidden="1" x14ac:dyDescent="0.25">
      <c r="A126" t="s">
        <v>183</v>
      </c>
      <c r="B126">
        <v>5</v>
      </c>
      <c r="C126">
        <v>11</v>
      </c>
      <c r="D126">
        <v>2</v>
      </c>
      <c r="E126">
        <v>5</v>
      </c>
      <c r="F126">
        <v>11</v>
      </c>
      <c r="G126">
        <v>13</v>
      </c>
      <c r="H126" t="s">
        <v>69</v>
      </c>
      <c r="I126" t="s">
        <v>70</v>
      </c>
      <c r="J126" t="s">
        <v>22</v>
      </c>
      <c r="K126" t="s">
        <v>71</v>
      </c>
      <c r="L126">
        <v>2025</v>
      </c>
      <c r="M126" t="s">
        <v>24</v>
      </c>
      <c r="N126">
        <v>1202.04</v>
      </c>
      <c r="O126">
        <v>18.100000000000001</v>
      </c>
      <c r="P126" s="3">
        <v>19.234772577455502</v>
      </c>
      <c r="Q126">
        <v>1.201306446016122</v>
      </c>
      <c r="R126">
        <f>O126+40</f>
        <v>58.1</v>
      </c>
      <c r="S126">
        <v>19.843928886276814</v>
      </c>
      <c r="T126">
        <f t="shared" si="3"/>
        <v>19.843928886276814</v>
      </c>
    </row>
    <row r="127" spans="1:20" hidden="1" x14ac:dyDescent="0.25">
      <c r="A127" t="s">
        <v>171</v>
      </c>
      <c r="B127">
        <v>4</v>
      </c>
      <c r="C127">
        <v>19</v>
      </c>
      <c r="D127">
        <v>2</v>
      </c>
      <c r="E127">
        <v>3</v>
      </c>
      <c r="F127">
        <v>9</v>
      </c>
      <c r="G127">
        <v>12</v>
      </c>
      <c r="H127" t="s">
        <v>131</v>
      </c>
      <c r="I127" t="s">
        <v>132</v>
      </c>
      <c r="J127" t="s">
        <v>22</v>
      </c>
      <c r="K127" t="s">
        <v>133</v>
      </c>
      <c r="L127">
        <v>2025</v>
      </c>
      <c r="M127" t="s">
        <v>24</v>
      </c>
      <c r="N127">
        <v>1188.43</v>
      </c>
      <c r="O127">
        <v>18.600000000000001</v>
      </c>
      <c r="P127" s="3">
        <v>18.900889601047702</v>
      </c>
      <c r="Q127">
        <v>1.0669820146773259</v>
      </c>
      <c r="R127">
        <f>O127+40</f>
        <v>58.6</v>
      </c>
      <c r="S127">
        <v>19.333094243802019</v>
      </c>
      <c r="T127">
        <f t="shared" si="3"/>
        <v>19.333094243802019</v>
      </c>
    </row>
    <row r="128" spans="1:20" hidden="1" x14ac:dyDescent="0.25">
      <c r="A128" t="s">
        <v>249</v>
      </c>
      <c r="B128">
        <v>8</v>
      </c>
      <c r="C128">
        <v>5</v>
      </c>
      <c r="D128">
        <v>4</v>
      </c>
      <c r="E128">
        <v>5</v>
      </c>
      <c r="F128">
        <v>23</v>
      </c>
      <c r="G128">
        <v>9</v>
      </c>
      <c r="H128" t="s">
        <v>26</v>
      </c>
      <c r="I128" t="s">
        <v>27</v>
      </c>
      <c r="J128" t="s">
        <v>22</v>
      </c>
      <c r="K128" t="s">
        <v>28</v>
      </c>
      <c r="L128">
        <v>2025</v>
      </c>
      <c r="M128" t="s">
        <v>24</v>
      </c>
      <c r="N128">
        <v>979.78</v>
      </c>
      <c r="O128">
        <v>13.3</v>
      </c>
      <c r="P128" s="3">
        <v>16.597088193497399</v>
      </c>
      <c r="Q128">
        <v>1.7637749720655831</v>
      </c>
      <c r="R128">
        <f>O128+39</f>
        <v>52.3</v>
      </c>
      <c r="S128">
        <v>19.021595914306587</v>
      </c>
      <c r="T128">
        <f t="shared" si="3"/>
        <v>19.021595914306587</v>
      </c>
    </row>
    <row r="129" spans="1:21" hidden="1" x14ac:dyDescent="0.25">
      <c r="A129" t="s">
        <v>252</v>
      </c>
      <c r="B129">
        <v>2</v>
      </c>
      <c r="C129">
        <v>29</v>
      </c>
      <c r="D129">
        <v>4</v>
      </c>
      <c r="E129">
        <v>5</v>
      </c>
      <c r="F129">
        <v>23</v>
      </c>
      <c r="G129">
        <v>12</v>
      </c>
      <c r="H129" t="s">
        <v>50</v>
      </c>
      <c r="I129" t="s">
        <v>51</v>
      </c>
      <c r="J129" t="s">
        <v>22</v>
      </c>
      <c r="K129" t="s">
        <v>52</v>
      </c>
      <c r="L129">
        <v>2025</v>
      </c>
      <c r="M129" t="s">
        <v>24</v>
      </c>
      <c r="N129">
        <v>1156.68</v>
      </c>
      <c r="O129">
        <v>18.3</v>
      </c>
      <c r="P129" s="3">
        <v>18.463733245440601</v>
      </c>
      <c r="Q129">
        <v>0.55463050925752844</v>
      </c>
      <c r="R129">
        <f>O129+40</f>
        <v>58.3</v>
      </c>
      <c r="S129">
        <v>18.983124712379198</v>
      </c>
      <c r="T129">
        <f t="shared" si="3"/>
        <v>18.983124712379198</v>
      </c>
    </row>
    <row r="130" spans="1:21" hidden="1" x14ac:dyDescent="0.25">
      <c r="A130" t="s">
        <v>68</v>
      </c>
      <c r="B130">
        <v>4</v>
      </c>
      <c r="C130">
        <v>11</v>
      </c>
      <c r="D130">
        <v>1</v>
      </c>
      <c r="E130">
        <v>3</v>
      </c>
      <c r="F130">
        <v>3</v>
      </c>
      <c r="G130">
        <v>9</v>
      </c>
      <c r="H130" t="s">
        <v>69</v>
      </c>
      <c r="I130" t="s">
        <v>70</v>
      </c>
      <c r="J130" t="s">
        <v>22</v>
      </c>
      <c r="K130" t="s">
        <v>71</v>
      </c>
      <c r="L130">
        <v>2025</v>
      </c>
      <c r="M130" t="s">
        <v>24</v>
      </c>
      <c r="N130">
        <v>984.31</v>
      </c>
      <c r="O130">
        <v>12.9</v>
      </c>
      <c r="P130" s="3">
        <v>16.750751139899702</v>
      </c>
      <c r="Q130">
        <v>0.82151037346206546</v>
      </c>
      <c r="R130">
        <f>O130+40</f>
        <v>52.9</v>
      </c>
      <c r="S130">
        <v>18.97996263375407</v>
      </c>
      <c r="T130">
        <f t="shared" ref="T130:T140" si="4">IF(N130&lt;= 0, -9, N130/ 453.6 / (R130/ 43560) * ((100 - O130) / (100 - 18)) / 100)</f>
        <v>18.97996263375407</v>
      </c>
    </row>
    <row r="131" spans="1:21" hidden="1" x14ac:dyDescent="0.25">
      <c r="A131" t="s">
        <v>45</v>
      </c>
      <c r="B131">
        <v>7</v>
      </c>
      <c r="C131">
        <v>10</v>
      </c>
      <c r="D131">
        <v>1</v>
      </c>
      <c r="E131">
        <v>2</v>
      </c>
      <c r="F131">
        <v>2</v>
      </c>
      <c r="G131">
        <v>8</v>
      </c>
      <c r="H131" t="s">
        <v>46</v>
      </c>
      <c r="I131" t="s">
        <v>47</v>
      </c>
      <c r="J131" t="s">
        <v>22</v>
      </c>
      <c r="K131" t="s">
        <v>48</v>
      </c>
      <c r="L131">
        <v>2025</v>
      </c>
      <c r="M131" t="s">
        <v>24</v>
      </c>
      <c r="N131">
        <v>970.7</v>
      </c>
      <c r="O131">
        <v>13.1</v>
      </c>
      <c r="P131" s="3">
        <v>16.481207995322698</v>
      </c>
      <c r="Q131">
        <v>1.7519658914111591</v>
      </c>
      <c r="R131">
        <f>O131+39</f>
        <v>52.1</v>
      </c>
      <c r="S131">
        <v>18.961297643755163</v>
      </c>
      <c r="T131">
        <f t="shared" si="4"/>
        <v>18.961297643755163</v>
      </c>
    </row>
    <row r="132" spans="1:21" hidden="1" x14ac:dyDescent="0.25">
      <c r="A132" t="s">
        <v>235</v>
      </c>
      <c r="B132">
        <v>3</v>
      </c>
      <c r="C132">
        <v>7</v>
      </c>
      <c r="D132">
        <v>4</v>
      </c>
      <c r="E132">
        <v>2</v>
      </c>
      <c r="F132">
        <v>20</v>
      </c>
      <c r="G132">
        <v>12</v>
      </c>
      <c r="H132" t="s">
        <v>111</v>
      </c>
      <c r="I132" t="s">
        <v>112</v>
      </c>
      <c r="J132" t="s">
        <v>22</v>
      </c>
      <c r="K132" t="s">
        <v>113</v>
      </c>
      <c r="L132">
        <v>2025</v>
      </c>
      <c r="M132" t="s">
        <v>24</v>
      </c>
      <c r="N132">
        <v>1152.1400000000001</v>
      </c>
      <c r="O132">
        <v>18.5</v>
      </c>
      <c r="P132" s="3">
        <v>18.3462411469412</v>
      </c>
      <c r="Q132">
        <v>0.78220968885597064</v>
      </c>
      <c r="R132">
        <f>O132+40</f>
        <v>58.5</v>
      </c>
      <c r="S132">
        <v>18.797840929019792</v>
      </c>
      <c r="T132">
        <f t="shared" si="4"/>
        <v>18.797840929019792</v>
      </c>
    </row>
    <row r="133" spans="1:21" hidden="1" x14ac:dyDescent="0.25">
      <c r="A133" t="s">
        <v>49</v>
      </c>
      <c r="B133">
        <v>2</v>
      </c>
      <c r="C133">
        <v>29</v>
      </c>
      <c r="D133">
        <v>1</v>
      </c>
      <c r="E133">
        <v>2</v>
      </c>
      <c r="F133">
        <v>2</v>
      </c>
      <c r="G133">
        <v>10</v>
      </c>
      <c r="H133" t="s">
        <v>50</v>
      </c>
      <c r="I133" t="s">
        <v>51</v>
      </c>
      <c r="J133" t="s">
        <v>22</v>
      </c>
      <c r="K133" t="s">
        <v>52</v>
      </c>
      <c r="L133">
        <v>2025</v>
      </c>
      <c r="M133" t="s">
        <v>24</v>
      </c>
      <c r="N133">
        <v>1157.99</v>
      </c>
      <c r="O133">
        <v>17.68</v>
      </c>
      <c r="P133" s="3">
        <v>18.624919526572601</v>
      </c>
      <c r="Q133">
        <v>0.55719194986800391</v>
      </c>
      <c r="R133">
        <v>60</v>
      </c>
      <c r="S133">
        <v>18.60629460704607</v>
      </c>
      <c r="T133">
        <f t="shared" si="4"/>
        <v>18.60629460704607</v>
      </c>
    </row>
    <row r="134" spans="1:21" hidden="1" x14ac:dyDescent="0.25">
      <c r="A134" t="s">
        <v>182</v>
      </c>
      <c r="B134">
        <v>5</v>
      </c>
      <c r="C134">
        <v>15</v>
      </c>
      <c r="D134">
        <v>2</v>
      </c>
      <c r="E134">
        <v>5</v>
      </c>
      <c r="F134">
        <v>11</v>
      </c>
      <c r="G134">
        <v>12</v>
      </c>
      <c r="H134" t="s">
        <v>139</v>
      </c>
      <c r="I134" t="s">
        <v>140</v>
      </c>
      <c r="J134" t="s">
        <v>22</v>
      </c>
      <c r="K134" t="s">
        <v>141</v>
      </c>
      <c r="L134">
        <v>2025</v>
      </c>
      <c r="M134" t="s">
        <v>24</v>
      </c>
      <c r="N134">
        <v>1084.0999999999999</v>
      </c>
      <c r="O134">
        <v>17</v>
      </c>
      <c r="P134" s="3">
        <v>17.580518155269701</v>
      </c>
      <c r="Q134">
        <v>1.241250303033377</v>
      </c>
      <c r="R134">
        <f>O134+40</f>
        <v>57</v>
      </c>
      <c r="S134">
        <v>18.487302775909964</v>
      </c>
      <c r="T134">
        <f t="shared" si="4"/>
        <v>18.487302775909964</v>
      </c>
    </row>
    <row r="135" spans="1:21" hidden="1" x14ac:dyDescent="0.25">
      <c r="A135" t="s">
        <v>247</v>
      </c>
      <c r="B135">
        <v>7</v>
      </c>
      <c r="C135">
        <v>28</v>
      </c>
      <c r="D135">
        <v>4</v>
      </c>
      <c r="E135">
        <v>4</v>
      </c>
      <c r="F135">
        <v>22</v>
      </c>
      <c r="G135">
        <v>13</v>
      </c>
      <c r="H135" t="s">
        <v>88</v>
      </c>
      <c r="I135" t="s">
        <v>89</v>
      </c>
      <c r="J135" t="s">
        <v>22</v>
      </c>
      <c r="K135" t="s">
        <v>90</v>
      </c>
      <c r="L135">
        <v>2025</v>
      </c>
      <c r="M135" t="s">
        <v>24</v>
      </c>
      <c r="N135">
        <v>1047.82</v>
      </c>
      <c r="O135">
        <v>17.8</v>
      </c>
      <c r="P135" s="3">
        <v>16.828396476228502</v>
      </c>
      <c r="Q135">
        <v>1.782016380637236</v>
      </c>
      <c r="R135">
        <f>O135+37</f>
        <v>54.8</v>
      </c>
      <c r="S135">
        <v>18.406826364692218</v>
      </c>
      <c r="T135">
        <f t="shared" si="4"/>
        <v>18.406826364692218</v>
      </c>
    </row>
    <row r="136" spans="1:21" hidden="1" x14ac:dyDescent="0.25">
      <c r="A136" t="s">
        <v>189</v>
      </c>
      <c r="B136">
        <v>8</v>
      </c>
      <c r="C136">
        <v>28</v>
      </c>
      <c r="D136">
        <v>2</v>
      </c>
      <c r="E136">
        <v>6</v>
      </c>
      <c r="F136">
        <v>12</v>
      </c>
      <c r="G136">
        <v>13</v>
      </c>
      <c r="H136" t="s">
        <v>88</v>
      </c>
      <c r="I136" t="s">
        <v>89</v>
      </c>
      <c r="J136" t="s">
        <v>22</v>
      </c>
      <c r="K136" t="s">
        <v>90</v>
      </c>
      <c r="L136">
        <v>2025</v>
      </c>
      <c r="M136" t="s">
        <v>24</v>
      </c>
      <c r="N136">
        <v>997.92</v>
      </c>
      <c r="O136">
        <v>18</v>
      </c>
      <c r="P136" s="3">
        <v>15.987987987987999</v>
      </c>
      <c r="Q136">
        <v>1.645829013333052</v>
      </c>
      <c r="R136">
        <f>O136+39</f>
        <v>57</v>
      </c>
      <c r="S136">
        <v>16.812631578947368</v>
      </c>
      <c r="T136">
        <f t="shared" si="4"/>
        <v>16.812631578947368</v>
      </c>
    </row>
    <row r="137" spans="1:21" hidden="1" x14ac:dyDescent="0.25">
      <c r="A137" t="s">
        <v>79</v>
      </c>
      <c r="B137">
        <v>3</v>
      </c>
      <c r="C137">
        <v>13</v>
      </c>
      <c r="D137">
        <v>1</v>
      </c>
      <c r="E137">
        <v>3</v>
      </c>
      <c r="F137">
        <v>3</v>
      </c>
      <c r="G137">
        <v>13</v>
      </c>
      <c r="H137" t="s">
        <v>80</v>
      </c>
      <c r="I137" t="s">
        <v>81</v>
      </c>
      <c r="J137" t="s">
        <v>22</v>
      </c>
      <c r="K137" t="s">
        <v>82</v>
      </c>
      <c r="L137">
        <v>2025</v>
      </c>
      <c r="M137" t="s">
        <v>24</v>
      </c>
      <c r="N137">
        <v>975.24</v>
      </c>
      <c r="O137">
        <v>17</v>
      </c>
      <c r="P137" s="3">
        <v>15.815168827363999</v>
      </c>
      <c r="Q137">
        <v>0.8007883947043386</v>
      </c>
      <c r="R137">
        <f>O137+40</f>
        <v>57</v>
      </c>
      <c r="S137">
        <v>16.630898587933249</v>
      </c>
      <c r="T137">
        <f t="shared" si="4"/>
        <v>16.630898587933249</v>
      </c>
    </row>
    <row r="138" spans="1:21" hidden="1" x14ac:dyDescent="0.25">
      <c r="A138" t="s">
        <v>188</v>
      </c>
      <c r="B138">
        <v>9</v>
      </c>
      <c r="C138">
        <v>13</v>
      </c>
      <c r="D138">
        <v>2</v>
      </c>
      <c r="E138">
        <v>6</v>
      </c>
      <c r="F138">
        <v>12</v>
      </c>
      <c r="G138">
        <v>12</v>
      </c>
      <c r="H138" t="s">
        <v>80</v>
      </c>
      <c r="I138" t="s">
        <v>81</v>
      </c>
      <c r="J138" t="s">
        <v>22</v>
      </c>
      <c r="K138" t="s">
        <v>82</v>
      </c>
      <c r="L138">
        <v>2025</v>
      </c>
      <c r="M138" t="s">
        <v>24</v>
      </c>
      <c r="N138">
        <v>920.81</v>
      </c>
      <c r="O138">
        <v>17</v>
      </c>
      <c r="P138" s="3">
        <v>14.9324941634111</v>
      </c>
      <c r="Q138">
        <v>1.561221084761246</v>
      </c>
      <c r="R138">
        <f>O138+40</f>
        <v>57</v>
      </c>
      <c r="S138">
        <v>15.702696493944888</v>
      </c>
      <c r="T138">
        <f t="shared" si="4"/>
        <v>15.702696493944888</v>
      </c>
    </row>
    <row r="139" spans="1:21" hidden="1" x14ac:dyDescent="0.25">
      <c r="A139" t="s">
        <v>248</v>
      </c>
      <c r="B139">
        <v>3</v>
      </c>
      <c r="C139">
        <v>34</v>
      </c>
      <c r="D139">
        <v>4</v>
      </c>
      <c r="E139">
        <v>5</v>
      </c>
      <c r="F139">
        <v>23</v>
      </c>
      <c r="G139">
        <v>8</v>
      </c>
      <c r="H139" t="s">
        <v>65</v>
      </c>
      <c r="I139" t="s">
        <v>66</v>
      </c>
      <c r="J139" t="s">
        <v>22</v>
      </c>
      <c r="K139" t="s">
        <v>67</v>
      </c>
      <c r="L139">
        <v>2025</v>
      </c>
      <c r="M139" t="s">
        <v>24</v>
      </c>
      <c r="N139">
        <v>816.48</v>
      </c>
      <c r="O139">
        <v>13.1</v>
      </c>
      <c r="P139" s="3">
        <v>13.8627554383652</v>
      </c>
      <c r="Q139">
        <v>0.74280738239561217</v>
      </c>
      <c r="R139">
        <f>O139+40</f>
        <v>53.1</v>
      </c>
      <c r="S139">
        <v>15.648466308391898</v>
      </c>
      <c r="T139">
        <f t="shared" si="4"/>
        <v>15.648466308391898</v>
      </c>
    </row>
    <row r="140" spans="1:21" hidden="1" x14ac:dyDescent="0.25">
      <c r="A140" t="s">
        <v>194</v>
      </c>
      <c r="B140">
        <v>4</v>
      </c>
      <c r="C140">
        <v>29</v>
      </c>
      <c r="D140">
        <v>3</v>
      </c>
      <c r="E140">
        <v>1</v>
      </c>
      <c r="F140">
        <v>13</v>
      </c>
      <c r="G140">
        <v>12</v>
      </c>
      <c r="H140" t="s">
        <v>50</v>
      </c>
      <c r="I140" t="s">
        <v>51</v>
      </c>
      <c r="J140" t="s">
        <v>22</v>
      </c>
      <c r="K140" t="s">
        <v>52</v>
      </c>
      <c r="L140">
        <v>2025</v>
      </c>
      <c r="M140" t="s">
        <v>24</v>
      </c>
      <c r="N140">
        <v>916.27</v>
      </c>
      <c r="O140">
        <v>17.7</v>
      </c>
      <c r="P140" s="3">
        <v>14.733554597635401</v>
      </c>
      <c r="Q140">
        <v>1.0442527673008259</v>
      </c>
      <c r="R140">
        <f>O140+40</f>
        <v>57.7</v>
      </c>
      <c r="S140">
        <v>15.30553314700639</v>
      </c>
      <c r="T140">
        <f t="shared" si="4"/>
        <v>15.30553314700639</v>
      </c>
    </row>
    <row r="141" spans="1:21" hidden="1" x14ac:dyDescent="0.25">
      <c r="A141" t="s">
        <v>110</v>
      </c>
      <c r="B141">
        <v>4</v>
      </c>
      <c r="C141">
        <v>13</v>
      </c>
      <c r="D141">
        <v>1</v>
      </c>
      <c r="E141">
        <v>6</v>
      </c>
      <c r="F141">
        <v>6</v>
      </c>
      <c r="G141">
        <v>14</v>
      </c>
      <c r="H141" t="s">
        <v>330</v>
      </c>
      <c r="I141" t="s">
        <v>331</v>
      </c>
      <c r="J141" t="s">
        <v>262</v>
      </c>
      <c r="K141" t="s">
        <v>332</v>
      </c>
      <c r="L141">
        <v>2025</v>
      </c>
      <c r="M141" t="s">
        <v>24</v>
      </c>
      <c r="N141">
        <v>1778.11</v>
      </c>
      <c r="O141">
        <v>17.7</v>
      </c>
      <c r="P141" s="3">
        <v>28.591878775471798</v>
      </c>
      <c r="Q141">
        <v>1.109047093066037</v>
      </c>
      <c r="R141" s="5">
        <v>58.24</v>
      </c>
      <c r="S141">
        <v>29.426463149069036</v>
      </c>
      <c r="T141" s="3">
        <f t="shared" ref="T141:T172" si="5">IF(N141&lt;= 0, -9, N141/ 453.6 / (R141/ 43560) * ((100 - O141) / (100 - 18)) / 100)</f>
        <v>29.426463149069036</v>
      </c>
      <c r="U141">
        <f>T141-P141</f>
        <v>0.83458437359723803</v>
      </c>
    </row>
    <row r="142" spans="1:21" hidden="1" x14ac:dyDescent="0.25">
      <c r="A142" t="s">
        <v>95</v>
      </c>
      <c r="B142">
        <v>12</v>
      </c>
      <c r="C142">
        <v>14</v>
      </c>
      <c r="D142">
        <v>1</v>
      </c>
      <c r="E142">
        <v>5</v>
      </c>
      <c r="F142">
        <v>5</v>
      </c>
      <c r="G142">
        <v>15</v>
      </c>
      <c r="H142" t="s">
        <v>322</v>
      </c>
      <c r="I142" t="s">
        <v>289</v>
      </c>
      <c r="J142" t="s">
        <v>262</v>
      </c>
      <c r="K142" t="s">
        <v>323</v>
      </c>
      <c r="L142">
        <v>2025</v>
      </c>
      <c r="M142" t="s">
        <v>24</v>
      </c>
      <c r="N142">
        <v>1728.22</v>
      </c>
      <c r="O142">
        <v>17.399999999999999</v>
      </c>
      <c r="P142" s="3">
        <v>27.8909500738317</v>
      </c>
      <c r="Q142">
        <v>2.2190729971016729</v>
      </c>
      <c r="R142" s="5">
        <v>52.32</v>
      </c>
      <c r="S142">
        <v>31.953049453850809</v>
      </c>
      <c r="T142" s="3">
        <f t="shared" si="5"/>
        <v>31.953049453850809</v>
      </c>
      <c r="U142">
        <f t="shared" ref="U142:U205" si="6">T142-P142</f>
        <v>4.0620993800191094</v>
      </c>
    </row>
    <row r="143" spans="1:21" hidden="1" x14ac:dyDescent="0.25">
      <c r="A143" t="s">
        <v>99</v>
      </c>
      <c r="B143">
        <v>18</v>
      </c>
      <c r="C143">
        <v>22</v>
      </c>
      <c r="D143">
        <v>1</v>
      </c>
      <c r="E143">
        <v>5</v>
      </c>
      <c r="F143">
        <v>5</v>
      </c>
      <c r="G143">
        <v>16</v>
      </c>
      <c r="H143" t="s">
        <v>324</v>
      </c>
      <c r="I143" t="s">
        <v>280</v>
      </c>
      <c r="J143" t="s">
        <v>262</v>
      </c>
      <c r="K143" t="s">
        <v>325</v>
      </c>
      <c r="L143">
        <v>2025</v>
      </c>
      <c r="M143" t="s">
        <v>24</v>
      </c>
      <c r="N143">
        <v>1728.22</v>
      </c>
      <c r="O143">
        <v>17.600000000000001</v>
      </c>
      <c r="P143" s="3">
        <v>27.823417507066999</v>
      </c>
      <c r="Q143">
        <v>3.1208773069056872</v>
      </c>
      <c r="R143" s="5">
        <v>53.26</v>
      </c>
      <c r="S143">
        <v>31.31309886168976</v>
      </c>
      <c r="T143" s="3">
        <f t="shared" si="5"/>
        <v>31.31309886168976</v>
      </c>
      <c r="U143">
        <f t="shared" si="6"/>
        <v>3.4896813546227605</v>
      </c>
    </row>
    <row r="144" spans="1:21" hidden="1" x14ac:dyDescent="0.25">
      <c r="A144" t="s">
        <v>180</v>
      </c>
      <c r="B144">
        <v>4</v>
      </c>
      <c r="C144">
        <v>18</v>
      </c>
      <c r="D144">
        <v>2</v>
      </c>
      <c r="E144">
        <v>6</v>
      </c>
      <c r="F144">
        <v>14</v>
      </c>
      <c r="G144">
        <v>14</v>
      </c>
      <c r="H144" t="s">
        <v>343</v>
      </c>
      <c r="I144" t="s">
        <v>289</v>
      </c>
      <c r="J144" t="s">
        <v>262</v>
      </c>
      <c r="K144" t="s">
        <v>344</v>
      </c>
      <c r="L144">
        <v>2025</v>
      </c>
      <c r="M144" t="s">
        <v>24</v>
      </c>
      <c r="N144">
        <v>1592.14</v>
      </c>
      <c r="O144">
        <v>17.8</v>
      </c>
      <c r="P144" s="3">
        <v>25.570387247487499</v>
      </c>
      <c r="Q144">
        <v>0.95486763176418143</v>
      </c>
      <c r="R144" s="5">
        <v>48.32</v>
      </c>
      <c r="S144">
        <v>31.719557359569578</v>
      </c>
      <c r="T144" s="3">
        <f t="shared" si="5"/>
        <v>31.719557359569578</v>
      </c>
      <c r="U144">
        <f t="shared" si="6"/>
        <v>6.1491701120820785</v>
      </c>
    </row>
    <row r="145" spans="1:21" hidden="1" x14ac:dyDescent="0.25">
      <c r="A145" t="s">
        <v>76</v>
      </c>
      <c r="B145">
        <v>13</v>
      </c>
      <c r="C145">
        <v>15</v>
      </c>
      <c r="D145">
        <v>1</v>
      </c>
      <c r="E145">
        <v>4</v>
      </c>
      <c r="F145">
        <v>4</v>
      </c>
      <c r="G145">
        <v>15</v>
      </c>
      <c r="H145" t="s">
        <v>309</v>
      </c>
      <c r="I145" t="s">
        <v>289</v>
      </c>
      <c r="J145" t="s">
        <v>262</v>
      </c>
      <c r="K145" t="s">
        <v>310</v>
      </c>
      <c r="L145">
        <v>2025</v>
      </c>
      <c r="M145" t="s">
        <v>24</v>
      </c>
      <c r="N145">
        <v>1555.85</v>
      </c>
      <c r="O145">
        <v>17</v>
      </c>
      <c r="P145" s="3">
        <v>25.230743632392201</v>
      </c>
      <c r="Q145">
        <v>2.4708752166347692</v>
      </c>
      <c r="R145" s="5">
        <v>53.62</v>
      </c>
      <c r="S145">
        <v>28.204602262692841</v>
      </c>
      <c r="T145" s="3">
        <f t="shared" si="5"/>
        <v>28.204602262692841</v>
      </c>
      <c r="U145">
        <f t="shared" si="6"/>
        <v>2.97385863030064</v>
      </c>
    </row>
    <row r="146" spans="1:21" hidden="1" x14ac:dyDescent="0.25">
      <c r="A146" t="s">
        <v>154</v>
      </c>
      <c r="B146">
        <v>19</v>
      </c>
      <c r="C146">
        <v>19</v>
      </c>
      <c r="D146">
        <v>2</v>
      </c>
      <c r="E146">
        <v>1</v>
      </c>
      <c r="F146">
        <v>9</v>
      </c>
      <c r="G146">
        <v>15</v>
      </c>
      <c r="H146" t="s">
        <v>299</v>
      </c>
      <c r="I146" t="s">
        <v>300</v>
      </c>
      <c r="J146" t="s">
        <v>262</v>
      </c>
      <c r="K146" t="s">
        <v>301</v>
      </c>
      <c r="L146">
        <v>2025</v>
      </c>
      <c r="M146" t="s">
        <v>24</v>
      </c>
      <c r="N146">
        <v>1515.02</v>
      </c>
      <c r="O146">
        <v>17.100000000000001</v>
      </c>
      <c r="P146" s="3">
        <v>24.539015267041499</v>
      </c>
      <c r="Q146">
        <v>3.2888410401266239</v>
      </c>
      <c r="R146" s="5">
        <v>57.45</v>
      </c>
      <c r="S146">
        <v>25.602586163733076</v>
      </c>
      <c r="T146" s="3">
        <f t="shared" si="5"/>
        <v>25.602586163733076</v>
      </c>
      <c r="U146">
        <f t="shared" si="6"/>
        <v>1.0635708966915765</v>
      </c>
    </row>
    <row r="147" spans="1:21" hidden="1" x14ac:dyDescent="0.25">
      <c r="A147" t="s">
        <v>138</v>
      </c>
      <c r="B147">
        <v>7</v>
      </c>
      <c r="C147">
        <v>32</v>
      </c>
      <c r="D147">
        <v>1</v>
      </c>
      <c r="E147">
        <v>7</v>
      </c>
      <c r="F147">
        <v>7</v>
      </c>
      <c r="G147">
        <v>16</v>
      </c>
      <c r="H147" t="s">
        <v>347</v>
      </c>
      <c r="I147" t="s">
        <v>348</v>
      </c>
      <c r="J147" t="s">
        <v>262</v>
      </c>
      <c r="K147" t="s">
        <v>349</v>
      </c>
      <c r="L147">
        <v>2025</v>
      </c>
      <c r="M147" t="s">
        <v>24</v>
      </c>
      <c r="N147">
        <v>1505.95</v>
      </c>
      <c r="O147">
        <v>17.3</v>
      </c>
      <c r="P147" s="3">
        <v>24.3332600005477</v>
      </c>
      <c r="Q147">
        <v>1.350993677872742</v>
      </c>
      <c r="R147" s="5">
        <v>36.36</v>
      </c>
      <c r="S147">
        <v>40.11374049595242</v>
      </c>
      <c r="T147" s="3">
        <f t="shared" si="5"/>
        <v>40.11374049595242</v>
      </c>
      <c r="U147">
        <f t="shared" si="6"/>
        <v>15.780480495404721</v>
      </c>
    </row>
    <row r="148" spans="1:21" hidden="1" x14ac:dyDescent="0.25">
      <c r="A148" t="s">
        <v>68</v>
      </c>
      <c r="B148">
        <v>12</v>
      </c>
      <c r="C148">
        <v>19</v>
      </c>
      <c r="D148">
        <v>1</v>
      </c>
      <c r="E148">
        <v>3</v>
      </c>
      <c r="F148">
        <v>3</v>
      </c>
      <c r="G148">
        <v>17</v>
      </c>
      <c r="H148" t="s">
        <v>299</v>
      </c>
      <c r="I148" t="s">
        <v>300</v>
      </c>
      <c r="J148" t="s">
        <v>262</v>
      </c>
      <c r="K148" t="s">
        <v>301</v>
      </c>
      <c r="L148">
        <v>2025</v>
      </c>
      <c r="M148" t="s">
        <v>24</v>
      </c>
      <c r="N148">
        <v>1496.88</v>
      </c>
      <c r="O148">
        <v>17.100000000000001</v>
      </c>
      <c r="P148" s="3">
        <v>24.245198857394001</v>
      </c>
      <c r="Q148">
        <v>2.1006292458618079</v>
      </c>
      <c r="R148" s="5">
        <v>48.62</v>
      </c>
      <c r="S148">
        <v>29.890111466725529</v>
      </c>
      <c r="T148" s="3">
        <f t="shared" si="5"/>
        <v>29.890111466725529</v>
      </c>
      <c r="U148">
        <f t="shared" si="6"/>
        <v>5.6449126093315272</v>
      </c>
    </row>
    <row r="149" spans="1:21" hidden="1" x14ac:dyDescent="0.25">
      <c r="A149" t="s">
        <v>114</v>
      </c>
      <c r="B149">
        <v>21</v>
      </c>
      <c r="C149">
        <v>12</v>
      </c>
      <c r="D149">
        <v>1</v>
      </c>
      <c r="E149">
        <v>6</v>
      </c>
      <c r="F149">
        <v>6</v>
      </c>
      <c r="G149">
        <v>15</v>
      </c>
      <c r="H149" t="s">
        <v>333</v>
      </c>
      <c r="I149" t="s">
        <v>314</v>
      </c>
      <c r="J149" t="s">
        <v>262</v>
      </c>
      <c r="K149" t="s">
        <v>334</v>
      </c>
      <c r="L149">
        <v>2025</v>
      </c>
      <c r="M149" t="s">
        <v>24</v>
      </c>
      <c r="N149">
        <v>1501.42</v>
      </c>
      <c r="O149">
        <v>17.8</v>
      </c>
      <c r="P149" s="3">
        <v>24.113388785611001</v>
      </c>
      <c r="Q149">
        <v>4.1758859048348507</v>
      </c>
      <c r="R149" s="5">
        <v>49.24</v>
      </c>
      <c r="S149">
        <v>29.353300646009821</v>
      </c>
      <c r="T149" s="3">
        <f t="shared" si="5"/>
        <v>29.353300646009821</v>
      </c>
      <c r="U149">
        <f t="shared" si="6"/>
        <v>5.23991186039882</v>
      </c>
    </row>
    <row r="150" spans="1:21" hidden="1" x14ac:dyDescent="0.25">
      <c r="A150" t="s">
        <v>159</v>
      </c>
      <c r="B150">
        <v>46</v>
      </c>
      <c r="C150">
        <v>40</v>
      </c>
      <c r="D150">
        <v>2</v>
      </c>
      <c r="E150">
        <v>2</v>
      </c>
      <c r="F150">
        <v>10</v>
      </c>
      <c r="G150">
        <v>15</v>
      </c>
      <c r="H150" t="s">
        <v>319</v>
      </c>
      <c r="I150" t="s">
        <v>320</v>
      </c>
      <c r="J150" t="s">
        <v>262</v>
      </c>
      <c r="K150" t="s">
        <v>321</v>
      </c>
      <c r="L150">
        <v>2025</v>
      </c>
      <c r="M150" t="s">
        <v>24</v>
      </c>
      <c r="N150">
        <v>1510.49</v>
      </c>
      <c r="O150">
        <v>18.899999999999999</v>
      </c>
      <c r="P150" s="3">
        <v>23.934421934839701</v>
      </c>
      <c r="Q150">
        <v>4.9668071408686991</v>
      </c>
      <c r="R150" s="5">
        <v>55.36</v>
      </c>
      <c r="S150">
        <v>25.914545714853567</v>
      </c>
      <c r="T150" s="3">
        <f t="shared" si="5"/>
        <v>25.914545714853567</v>
      </c>
      <c r="U150">
        <f t="shared" si="6"/>
        <v>1.9801237800138658</v>
      </c>
    </row>
    <row r="151" spans="1:21" hidden="1" x14ac:dyDescent="0.25">
      <c r="A151" t="s">
        <v>150</v>
      </c>
      <c r="B151">
        <v>30</v>
      </c>
      <c r="C151">
        <v>29</v>
      </c>
      <c r="D151">
        <v>1</v>
      </c>
      <c r="E151">
        <v>8</v>
      </c>
      <c r="F151">
        <v>8</v>
      </c>
      <c r="G151">
        <v>14</v>
      </c>
      <c r="H151" t="s">
        <v>355</v>
      </c>
      <c r="I151" t="s">
        <v>353</v>
      </c>
      <c r="J151" t="s">
        <v>262</v>
      </c>
      <c r="K151" t="s">
        <v>356</v>
      </c>
      <c r="L151">
        <v>2025</v>
      </c>
      <c r="M151" t="s">
        <v>24</v>
      </c>
      <c r="N151">
        <v>1478.74</v>
      </c>
      <c r="O151">
        <v>17.600000000000001</v>
      </c>
      <c r="P151" s="3">
        <v>23.806922963743201</v>
      </c>
      <c r="Q151">
        <v>4.8784890286457534</v>
      </c>
      <c r="R151" s="5">
        <v>56.25</v>
      </c>
      <c r="S151">
        <v>25.368657110164751</v>
      </c>
      <c r="T151" s="3">
        <f t="shared" si="5"/>
        <v>25.368657110164751</v>
      </c>
      <c r="U151">
        <f t="shared" si="6"/>
        <v>1.56173414642155</v>
      </c>
    </row>
    <row r="152" spans="1:21" hidden="1" x14ac:dyDescent="0.25">
      <c r="A152" t="s">
        <v>106</v>
      </c>
      <c r="B152">
        <v>13</v>
      </c>
      <c r="C152">
        <v>20</v>
      </c>
      <c r="D152">
        <v>1</v>
      </c>
      <c r="E152">
        <v>5</v>
      </c>
      <c r="F152">
        <v>5</v>
      </c>
      <c r="G152">
        <v>18</v>
      </c>
      <c r="H152" t="s">
        <v>328</v>
      </c>
      <c r="I152" t="s">
        <v>280</v>
      </c>
      <c r="J152" t="s">
        <v>262</v>
      </c>
      <c r="K152" t="s">
        <v>329</v>
      </c>
      <c r="L152">
        <v>2025</v>
      </c>
      <c r="M152" t="s">
        <v>24</v>
      </c>
      <c r="N152">
        <v>1456.06</v>
      </c>
      <c r="O152">
        <v>16.5</v>
      </c>
      <c r="P152" s="3">
        <v>23.7547235743939</v>
      </c>
      <c r="Q152">
        <v>2.5655625897773491</v>
      </c>
      <c r="R152" s="5">
        <v>55.36</v>
      </c>
      <c r="S152">
        <v>25.719980690917044</v>
      </c>
      <c r="T152" s="3">
        <f t="shared" si="5"/>
        <v>25.719980690917044</v>
      </c>
      <c r="U152">
        <f t="shared" si="6"/>
        <v>1.9652571165231443</v>
      </c>
    </row>
    <row r="153" spans="1:21" hidden="1" x14ac:dyDescent="0.25">
      <c r="A153" t="s">
        <v>357</v>
      </c>
      <c r="B153">
        <v>13</v>
      </c>
      <c r="C153">
        <v>25</v>
      </c>
      <c r="D153">
        <v>1</v>
      </c>
      <c r="E153">
        <v>8</v>
      </c>
      <c r="F153">
        <v>8</v>
      </c>
      <c r="G153">
        <v>15</v>
      </c>
      <c r="H153" t="s">
        <v>358</v>
      </c>
      <c r="I153" t="s">
        <v>359</v>
      </c>
      <c r="J153" t="s">
        <v>262</v>
      </c>
      <c r="K153" t="s">
        <v>360</v>
      </c>
      <c r="L153">
        <v>2025</v>
      </c>
      <c r="M153" t="s">
        <v>24</v>
      </c>
      <c r="N153">
        <v>1465.13</v>
      </c>
      <c r="O153">
        <v>17.100000000000001</v>
      </c>
      <c r="P153" s="3">
        <v>23.730939154730901</v>
      </c>
      <c r="Q153">
        <v>2.955539954852489</v>
      </c>
      <c r="R153" s="5">
        <f>3.33*18</f>
        <v>59.94</v>
      </c>
      <c r="S153">
        <v>23.730939154730937</v>
      </c>
      <c r="T153" s="3">
        <f t="shared" si="5"/>
        <v>23.730939154730937</v>
      </c>
      <c r="U153">
        <f t="shared" si="6"/>
        <v>3.5527136788005009E-14</v>
      </c>
    </row>
    <row r="154" spans="1:21" hidden="1" x14ac:dyDescent="0.25">
      <c r="A154" t="s">
        <v>79</v>
      </c>
      <c r="B154">
        <v>7</v>
      </c>
      <c r="C154">
        <v>9</v>
      </c>
      <c r="D154">
        <v>1</v>
      </c>
      <c r="E154">
        <v>4</v>
      </c>
      <c r="F154">
        <v>4</v>
      </c>
      <c r="G154">
        <v>16</v>
      </c>
      <c r="H154" t="s">
        <v>311</v>
      </c>
      <c r="I154" t="s">
        <v>307</v>
      </c>
      <c r="J154" t="s">
        <v>262</v>
      </c>
      <c r="K154" t="s">
        <v>312</v>
      </c>
      <c r="L154">
        <v>2025</v>
      </c>
      <c r="M154" t="s">
        <v>24</v>
      </c>
      <c r="N154">
        <v>1451.52</v>
      </c>
      <c r="O154">
        <v>17.600000000000001</v>
      </c>
      <c r="P154" s="3">
        <v>23.3686955247931</v>
      </c>
      <c r="Q154">
        <v>1.3876481586530569</v>
      </c>
      <c r="R154" s="5">
        <v>54.69</v>
      </c>
      <c r="S154">
        <v>25.61198774467174</v>
      </c>
      <c r="T154" s="3">
        <f t="shared" si="5"/>
        <v>25.61198774467174</v>
      </c>
      <c r="U154">
        <f t="shared" si="6"/>
        <v>2.24329221987864</v>
      </c>
    </row>
    <row r="155" spans="1:21" hidden="1" x14ac:dyDescent="0.25">
      <c r="A155" t="s">
        <v>186</v>
      </c>
      <c r="B155">
        <v>1</v>
      </c>
      <c r="C155">
        <v>13</v>
      </c>
      <c r="D155">
        <v>2</v>
      </c>
      <c r="E155">
        <v>7</v>
      </c>
      <c r="F155">
        <v>15</v>
      </c>
      <c r="G155">
        <v>16</v>
      </c>
      <c r="H155" t="s">
        <v>330</v>
      </c>
      <c r="I155" t="s">
        <v>331</v>
      </c>
      <c r="J155" t="s">
        <v>262</v>
      </c>
      <c r="K155" t="s">
        <v>332</v>
      </c>
      <c r="L155">
        <v>2025</v>
      </c>
      <c r="M155" t="s">
        <v>24</v>
      </c>
      <c r="N155">
        <v>1415.23</v>
      </c>
      <c r="O155">
        <v>15.8</v>
      </c>
      <c r="P155" s="3">
        <v>23.282164416965699</v>
      </c>
      <c r="Q155">
        <v>0.28274324543039892</v>
      </c>
      <c r="R155" s="5">
        <v>43.34</v>
      </c>
      <c r="S155">
        <v>32.19965240315927</v>
      </c>
      <c r="T155" s="3">
        <f t="shared" si="5"/>
        <v>32.19965240315927</v>
      </c>
      <c r="U155">
        <f t="shared" si="6"/>
        <v>8.9174879861935707</v>
      </c>
    </row>
    <row r="156" spans="1:21" hidden="1" x14ac:dyDescent="0.25">
      <c r="A156" t="s">
        <v>183</v>
      </c>
      <c r="B156">
        <v>4</v>
      </c>
      <c r="C156">
        <v>21</v>
      </c>
      <c r="D156">
        <v>2</v>
      </c>
      <c r="E156">
        <v>6</v>
      </c>
      <c r="F156">
        <v>14</v>
      </c>
      <c r="G156">
        <v>18</v>
      </c>
      <c r="H156" t="s">
        <v>279</v>
      </c>
      <c r="I156" t="s">
        <v>280</v>
      </c>
      <c r="J156" t="s">
        <v>262</v>
      </c>
      <c r="K156" t="s">
        <v>281</v>
      </c>
      <c r="L156">
        <v>2025</v>
      </c>
      <c r="M156" t="s">
        <v>24</v>
      </c>
      <c r="N156">
        <v>1437.91</v>
      </c>
      <c r="O156">
        <v>17.399999999999999</v>
      </c>
      <c r="P156" s="3">
        <v>23.205770110670699</v>
      </c>
      <c r="Q156">
        <v>0.87920309943602537</v>
      </c>
      <c r="R156" s="5">
        <f>3.33*18</f>
        <v>59.94</v>
      </c>
      <c r="S156">
        <v>23.205770110670741</v>
      </c>
      <c r="T156" s="3">
        <f t="shared" si="5"/>
        <v>23.205770110670741</v>
      </c>
      <c r="U156">
        <f t="shared" si="6"/>
        <v>4.2632564145606011E-14</v>
      </c>
    </row>
    <row r="157" spans="1:21" hidden="1" x14ac:dyDescent="0.25">
      <c r="A157" t="s">
        <v>201</v>
      </c>
      <c r="B157">
        <v>4</v>
      </c>
      <c r="C157">
        <v>13</v>
      </c>
      <c r="D157">
        <v>3</v>
      </c>
      <c r="E157">
        <v>3</v>
      </c>
      <c r="F157">
        <v>19</v>
      </c>
      <c r="G157">
        <v>16</v>
      </c>
      <c r="H157" t="s">
        <v>330</v>
      </c>
      <c r="I157" t="s">
        <v>331</v>
      </c>
      <c r="J157" t="s">
        <v>262</v>
      </c>
      <c r="K157" t="s">
        <v>332</v>
      </c>
      <c r="L157">
        <v>2025</v>
      </c>
      <c r="M157" t="s">
        <v>24</v>
      </c>
      <c r="N157">
        <v>1411.32</v>
      </c>
      <c r="O157">
        <v>16.7</v>
      </c>
      <c r="P157" s="3">
        <v>22.969668720210699</v>
      </c>
      <c r="Q157">
        <v>0.76980584693299237</v>
      </c>
      <c r="R157" s="5">
        <v>55.14</v>
      </c>
      <c r="S157">
        <v>24.969204626213827</v>
      </c>
      <c r="T157" s="3">
        <f t="shared" si="5"/>
        <v>24.969204626213827</v>
      </c>
      <c r="U157">
        <f t="shared" si="6"/>
        <v>1.9995359060031284</v>
      </c>
    </row>
    <row r="158" spans="1:21" hidden="1" x14ac:dyDescent="0.25">
      <c r="A158" t="s">
        <v>118</v>
      </c>
      <c r="B158">
        <v>21</v>
      </c>
      <c r="C158">
        <v>33</v>
      </c>
      <c r="D158">
        <v>1</v>
      </c>
      <c r="E158">
        <v>6</v>
      </c>
      <c r="F158">
        <v>6</v>
      </c>
      <c r="G158">
        <v>16</v>
      </c>
      <c r="H158" t="s">
        <v>335</v>
      </c>
      <c r="I158" t="s">
        <v>336</v>
      </c>
      <c r="J158" t="s">
        <v>262</v>
      </c>
      <c r="K158" t="s">
        <v>337</v>
      </c>
      <c r="L158">
        <v>2025</v>
      </c>
      <c r="M158" t="s">
        <v>24</v>
      </c>
      <c r="N158">
        <v>1383.48</v>
      </c>
      <c r="O158">
        <v>15.5</v>
      </c>
      <c r="P158" s="3">
        <v>22.840932395810398</v>
      </c>
      <c r="Q158">
        <v>3.8842302045155801</v>
      </c>
      <c r="R158" s="5">
        <f>3.33*18</f>
        <v>59.94</v>
      </c>
      <c r="S158">
        <v>22.840932395810441</v>
      </c>
      <c r="T158" s="3">
        <f t="shared" si="5"/>
        <v>22.840932395810441</v>
      </c>
      <c r="U158">
        <f t="shared" si="6"/>
        <v>4.2632564145606011E-14</v>
      </c>
    </row>
    <row r="159" spans="1:21" hidden="1" x14ac:dyDescent="0.25">
      <c r="A159" t="s">
        <v>181</v>
      </c>
      <c r="B159">
        <v>22</v>
      </c>
      <c r="C159">
        <v>12</v>
      </c>
      <c r="D159">
        <v>2</v>
      </c>
      <c r="E159">
        <v>6</v>
      </c>
      <c r="F159">
        <v>14</v>
      </c>
      <c r="G159">
        <v>15</v>
      </c>
      <c r="H159" t="s">
        <v>333</v>
      </c>
      <c r="I159" t="s">
        <v>314</v>
      </c>
      <c r="J159" t="s">
        <v>262</v>
      </c>
      <c r="K159" t="s">
        <v>334</v>
      </c>
      <c r="L159">
        <v>2025</v>
      </c>
      <c r="M159" t="s">
        <v>24</v>
      </c>
      <c r="N159">
        <v>1437.91</v>
      </c>
      <c r="O159">
        <v>18.8</v>
      </c>
      <c r="P159" s="3">
        <v>22.8124519732017</v>
      </c>
      <c r="Q159">
        <v>3.6592972169061659</v>
      </c>
      <c r="R159" s="5">
        <f>3.33*18</f>
        <v>59.94</v>
      </c>
      <c r="S159">
        <v>22.812451973201746</v>
      </c>
      <c r="T159" s="3">
        <f t="shared" si="5"/>
        <v>22.812451973201746</v>
      </c>
      <c r="U159">
        <f t="shared" si="6"/>
        <v>4.6185277824406512E-14</v>
      </c>
    </row>
    <row r="160" spans="1:21" hidden="1" x14ac:dyDescent="0.25">
      <c r="A160" t="s">
        <v>218</v>
      </c>
      <c r="B160">
        <v>8</v>
      </c>
      <c r="C160">
        <v>30</v>
      </c>
      <c r="D160">
        <v>3</v>
      </c>
      <c r="E160">
        <v>6</v>
      </c>
      <c r="F160">
        <v>22</v>
      </c>
      <c r="G160">
        <v>18</v>
      </c>
      <c r="H160" t="s">
        <v>283</v>
      </c>
      <c r="I160" t="s">
        <v>268</v>
      </c>
      <c r="J160" t="s">
        <v>262</v>
      </c>
      <c r="K160" t="s">
        <v>284</v>
      </c>
      <c r="L160">
        <v>2025</v>
      </c>
      <c r="M160" t="s">
        <v>24</v>
      </c>
      <c r="N160">
        <v>1415.23</v>
      </c>
      <c r="O160">
        <v>17.5</v>
      </c>
      <c r="P160" s="3">
        <v>22.812096964366599</v>
      </c>
      <c r="Q160">
        <v>1.6966663000412301</v>
      </c>
      <c r="R160" s="5">
        <v>56.262746387013792</v>
      </c>
      <c r="S160">
        <v>24.303063391867045</v>
      </c>
      <c r="T160" s="3">
        <f t="shared" si="5"/>
        <v>24.303063391867045</v>
      </c>
      <c r="U160" s="3">
        <f t="shared" si="6"/>
        <v>1.4909664275004459</v>
      </c>
    </row>
    <row r="161" spans="1:21" hidden="1" x14ac:dyDescent="0.25">
      <c r="A161" t="s">
        <v>361</v>
      </c>
      <c r="B161">
        <v>8</v>
      </c>
      <c r="C161">
        <v>27</v>
      </c>
      <c r="D161">
        <v>1</v>
      </c>
      <c r="E161">
        <v>8</v>
      </c>
      <c r="F161">
        <v>8</v>
      </c>
      <c r="G161">
        <v>16</v>
      </c>
      <c r="H161" t="s">
        <v>362</v>
      </c>
      <c r="I161" t="s">
        <v>363</v>
      </c>
      <c r="J161" t="s">
        <v>262</v>
      </c>
      <c r="K161" t="s">
        <v>364</v>
      </c>
      <c r="L161">
        <v>2025</v>
      </c>
      <c r="M161" t="s">
        <v>24</v>
      </c>
      <c r="N161">
        <v>1428.84</v>
      </c>
      <c r="O161">
        <v>18.7</v>
      </c>
      <c r="P161" s="3">
        <v>22.696473302570901</v>
      </c>
      <c r="Q161">
        <v>1.780021662732872</v>
      </c>
      <c r="R161" s="5">
        <v>38.159975175490402</v>
      </c>
      <c r="S161">
        <v>35.650615690910605</v>
      </c>
      <c r="T161" s="3">
        <f t="shared" si="5"/>
        <v>35.650615690910605</v>
      </c>
      <c r="U161">
        <f t="shared" si="6"/>
        <v>12.954142388339704</v>
      </c>
    </row>
    <row r="162" spans="1:21" hidden="1" x14ac:dyDescent="0.25">
      <c r="A162" t="s">
        <v>167</v>
      </c>
      <c r="B162">
        <v>3</v>
      </c>
      <c r="C162">
        <v>8</v>
      </c>
      <c r="D162">
        <v>2</v>
      </c>
      <c r="E162">
        <v>3</v>
      </c>
      <c r="F162">
        <v>11</v>
      </c>
      <c r="G162">
        <v>18</v>
      </c>
      <c r="H162" t="s">
        <v>293</v>
      </c>
      <c r="I162" t="s">
        <v>294</v>
      </c>
      <c r="J162" t="s">
        <v>262</v>
      </c>
      <c r="K162" t="s">
        <v>295</v>
      </c>
      <c r="L162">
        <v>2025</v>
      </c>
      <c r="M162" t="s">
        <v>24</v>
      </c>
      <c r="N162">
        <v>1406.16</v>
      </c>
      <c r="O162">
        <v>17.399999999999999</v>
      </c>
      <c r="P162" s="3">
        <v>22.693371420200702</v>
      </c>
      <c r="Q162">
        <v>0.82450758150510461</v>
      </c>
      <c r="R162" s="5">
        <v>49.874917156562802</v>
      </c>
      <c r="S162">
        <v>27.273041450011547</v>
      </c>
      <c r="T162" s="3">
        <f t="shared" si="5"/>
        <v>27.273041450011547</v>
      </c>
      <c r="U162">
        <f t="shared" si="6"/>
        <v>4.5796700298108455</v>
      </c>
    </row>
    <row r="163" spans="1:21" hidden="1" x14ac:dyDescent="0.25">
      <c r="A163" t="s">
        <v>160</v>
      </c>
      <c r="B163">
        <v>5</v>
      </c>
      <c r="C163">
        <v>24</v>
      </c>
      <c r="D163">
        <v>2</v>
      </c>
      <c r="E163">
        <v>2</v>
      </c>
      <c r="F163">
        <v>10</v>
      </c>
      <c r="G163">
        <v>16</v>
      </c>
      <c r="H163" t="s">
        <v>369</v>
      </c>
      <c r="I163" t="s">
        <v>303</v>
      </c>
      <c r="J163" t="s">
        <v>262</v>
      </c>
      <c r="K163" t="s">
        <v>370</v>
      </c>
      <c r="L163">
        <v>2025</v>
      </c>
      <c r="M163" t="s">
        <v>24</v>
      </c>
      <c r="N163">
        <v>1397.09</v>
      </c>
      <c r="O163">
        <v>17.899999999999999</v>
      </c>
      <c r="P163" s="3">
        <v>22.410511829741701</v>
      </c>
      <c r="Q163">
        <v>0.93454431859341902</v>
      </c>
      <c r="R163" s="5">
        <v>51.0593415909077</v>
      </c>
      <c r="S163">
        <v>26.308331388940637</v>
      </c>
      <c r="T163" s="3">
        <f t="shared" si="5"/>
        <v>26.308331388940637</v>
      </c>
      <c r="U163">
        <f t="shared" si="6"/>
        <v>3.8978195591989362</v>
      </c>
    </row>
    <row r="164" spans="1:21" hidden="1" x14ac:dyDescent="0.25">
      <c r="A164" t="s">
        <v>368</v>
      </c>
      <c r="B164">
        <v>5</v>
      </c>
      <c r="C164">
        <v>24</v>
      </c>
      <c r="D164">
        <v>1</v>
      </c>
      <c r="E164">
        <v>8</v>
      </c>
      <c r="F164">
        <v>8</v>
      </c>
      <c r="G164">
        <v>18</v>
      </c>
      <c r="H164" t="s">
        <v>369</v>
      </c>
      <c r="I164" t="s">
        <v>303</v>
      </c>
      <c r="J164" t="s">
        <v>262</v>
      </c>
      <c r="K164" t="s">
        <v>370</v>
      </c>
      <c r="L164">
        <v>2025</v>
      </c>
      <c r="M164" t="s">
        <v>24</v>
      </c>
      <c r="N164">
        <v>1351.73</v>
      </c>
      <c r="O164">
        <v>15.4</v>
      </c>
      <c r="P164" s="3">
        <v>22.343157646612902</v>
      </c>
      <c r="Q164">
        <v>1.0453742481327351</v>
      </c>
      <c r="R164" s="5">
        <v>55.252303869475902</v>
      </c>
      <c r="S164">
        <v>24.238787806961408</v>
      </c>
      <c r="T164" s="3">
        <f t="shared" si="5"/>
        <v>24.238787806961408</v>
      </c>
      <c r="U164">
        <f t="shared" si="6"/>
        <v>1.8956301603485066</v>
      </c>
    </row>
    <row r="165" spans="1:21" hidden="1" x14ac:dyDescent="0.25">
      <c r="A165" t="s">
        <v>130</v>
      </c>
      <c r="B165">
        <v>5</v>
      </c>
      <c r="C165">
        <v>18</v>
      </c>
      <c r="D165">
        <v>1</v>
      </c>
      <c r="E165">
        <v>7</v>
      </c>
      <c r="F165">
        <v>7</v>
      </c>
      <c r="G165">
        <v>14</v>
      </c>
      <c r="H165" t="s">
        <v>343</v>
      </c>
      <c r="I165" t="s">
        <v>289</v>
      </c>
      <c r="J165" t="s">
        <v>262</v>
      </c>
      <c r="K165" t="s">
        <v>344</v>
      </c>
      <c r="L165">
        <v>2025</v>
      </c>
      <c r="M165" t="s">
        <v>24</v>
      </c>
      <c r="N165">
        <v>1383.48</v>
      </c>
      <c r="O165">
        <v>17.399999999999999</v>
      </c>
      <c r="P165" s="3">
        <v>22.327349300520002</v>
      </c>
      <c r="Q165">
        <v>1.0912725170261759</v>
      </c>
      <c r="R165" s="5">
        <v>37.746348246018101</v>
      </c>
      <c r="S165">
        <v>35.45512027681643</v>
      </c>
      <c r="T165" s="3">
        <f t="shared" si="5"/>
        <v>35.45512027681643</v>
      </c>
      <c r="U165">
        <f t="shared" si="6"/>
        <v>13.127770976296429</v>
      </c>
    </row>
    <row r="166" spans="1:21" hidden="1" x14ac:dyDescent="0.25">
      <c r="A166" t="s">
        <v>179</v>
      </c>
      <c r="B166">
        <v>6</v>
      </c>
      <c r="C166">
        <v>22</v>
      </c>
      <c r="D166">
        <v>2</v>
      </c>
      <c r="E166">
        <v>5</v>
      </c>
      <c r="F166">
        <v>13</v>
      </c>
      <c r="G166">
        <v>18</v>
      </c>
      <c r="H166" t="s">
        <v>324</v>
      </c>
      <c r="I166" t="s">
        <v>280</v>
      </c>
      <c r="J166" t="s">
        <v>262</v>
      </c>
      <c r="K166" t="s">
        <v>325</v>
      </c>
      <c r="L166">
        <v>2025</v>
      </c>
      <c r="M166" t="s">
        <v>24</v>
      </c>
      <c r="N166">
        <v>1351.73</v>
      </c>
      <c r="O166">
        <v>16.5</v>
      </c>
      <c r="P166" s="3">
        <v>22.052643776503299</v>
      </c>
      <c r="Q166">
        <v>0.91168366715262339</v>
      </c>
      <c r="R166" s="5">
        <v>47.813271824864124</v>
      </c>
      <c r="S166">
        <v>27.645785730902858</v>
      </c>
      <c r="T166" s="3">
        <f t="shared" si="5"/>
        <v>27.645785730902858</v>
      </c>
      <c r="U166">
        <f t="shared" si="6"/>
        <v>5.5931419543995595</v>
      </c>
    </row>
    <row r="167" spans="1:21" hidden="1" x14ac:dyDescent="0.25">
      <c r="A167" t="s">
        <v>221</v>
      </c>
      <c r="B167">
        <v>3</v>
      </c>
      <c r="C167">
        <v>14</v>
      </c>
      <c r="D167">
        <v>3</v>
      </c>
      <c r="E167">
        <v>7</v>
      </c>
      <c r="F167">
        <v>23</v>
      </c>
      <c r="G167">
        <v>16</v>
      </c>
      <c r="H167" t="s">
        <v>322</v>
      </c>
      <c r="I167" t="s">
        <v>289</v>
      </c>
      <c r="J167" t="s">
        <v>262</v>
      </c>
      <c r="K167" t="s">
        <v>323</v>
      </c>
      <c r="L167">
        <v>2025</v>
      </c>
      <c r="M167" t="s">
        <v>24</v>
      </c>
      <c r="N167">
        <v>1325.14</v>
      </c>
      <c r="O167">
        <v>16.3</v>
      </c>
      <c r="P167" s="3">
        <v>21.670625939528399</v>
      </c>
      <c r="Q167">
        <v>0.5320027342618977</v>
      </c>
      <c r="R167" s="5">
        <v>50.726424231321602</v>
      </c>
      <c r="S167">
        <v>25.606719545062823</v>
      </c>
      <c r="T167" s="3">
        <f t="shared" si="5"/>
        <v>25.606719545062823</v>
      </c>
      <c r="U167">
        <f t="shared" si="6"/>
        <v>3.936093605534424</v>
      </c>
    </row>
    <row r="168" spans="1:21" hidden="1" x14ac:dyDescent="0.25">
      <c r="A168" t="s">
        <v>162</v>
      </c>
      <c r="B168">
        <v>6</v>
      </c>
      <c r="C168">
        <v>10</v>
      </c>
      <c r="D168">
        <v>2</v>
      </c>
      <c r="E168">
        <v>2</v>
      </c>
      <c r="F168">
        <v>10</v>
      </c>
      <c r="G168">
        <v>18</v>
      </c>
      <c r="H168" t="s">
        <v>306</v>
      </c>
      <c r="I168" t="s">
        <v>307</v>
      </c>
      <c r="J168" t="s">
        <v>262</v>
      </c>
      <c r="K168" t="s">
        <v>308</v>
      </c>
      <c r="L168">
        <v>2025</v>
      </c>
      <c r="M168" t="s">
        <v>24</v>
      </c>
      <c r="N168">
        <v>1315.44</v>
      </c>
      <c r="O168">
        <v>16.399999999999999</v>
      </c>
      <c r="P168" s="3">
        <v>21.486296052149701</v>
      </c>
      <c r="Q168">
        <v>1.2868077158419771</v>
      </c>
      <c r="R168" s="5">
        <v>49.851069572551502</v>
      </c>
      <c r="S168">
        <v>25.834723234804539</v>
      </c>
      <c r="T168" s="3">
        <f t="shared" si="5"/>
        <v>25.834723234804539</v>
      </c>
      <c r="U168">
        <f t="shared" si="6"/>
        <v>4.348427182654838</v>
      </c>
    </row>
    <row r="169" spans="1:21" hidden="1" x14ac:dyDescent="0.25">
      <c r="A169" t="s">
        <v>174</v>
      </c>
      <c r="B169">
        <v>5</v>
      </c>
      <c r="C169">
        <v>14</v>
      </c>
      <c r="D169">
        <v>2</v>
      </c>
      <c r="E169">
        <v>4</v>
      </c>
      <c r="F169">
        <v>12</v>
      </c>
      <c r="G169">
        <v>18</v>
      </c>
      <c r="H169" t="s">
        <v>322</v>
      </c>
      <c r="I169" t="s">
        <v>289</v>
      </c>
      <c r="J169" t="s">
        <v>262</v>
      </c>
      <c r="K169" t="s">
        <v>323</v>
      </c>
      <c r="L169">
        <v>2025</v>
      </c>
      <c r="M169" t="s">
        <v>24</v>
      </c>
      <c r="N169">
        <v>1292.76</v>
      </c>
      <c r="O169">
        <v>16</v>
      </c>
      <c r="P169" s="3">
        <v>21.2168754119974</v>
      </c>
      <c r="Q169">
        <v>0.90436505917585697</v>
      </c>
      <c r="R169" s="5">
        <v>41.734495060462997</v>
      </c>
      <c r="S169">
        <v>30.472143255901013</v>
      </c>
      <c r="T169" s="3">
        <f t="shared" si="5"/>
        <v>30.472143255901013</v>
      </c>
      <c r="U169">
        <f t="shared" si="6"/>
        <v>9.2552678439036136</v>
      </c>
    </row>
    <row r="170" spans="1:21" hidden="1" x14ac:dyDescent="0.25">
      <c r="A170" t="s">
        <v>373</v>
      </c>
      <c r="B170">
        <v>5</v>
      </c>
      <c r="C170">
        <v>17</v>
      </c>
      <c r="D170">
        <v>2</v>
      </c>
      <c r="E170">
        <v>8</v>
      </c>
      <c r="F170">
        <v>16</v>
      </c>
      <c r="G170">
        <v>16</v>
      </c>
      <c r="H170" t="s">
        <v>288</v>
      </c>
      <c r="I170" t="s">
        <v>289</v>
      </c>
      <c r="J170" t="s">
        <v>262</v>
      </c>
      <c r="K170" t="s">
        <v>290</v>
      </c>
      <c r="L170">
        <v>2025</v>
      </c>
      <c r="M170" t="s">
        <v>24</v>
      </c>
      <c r="N170">
        <v>1292.76</v>
      </c>
      <c r="O170">
        <v>16.600000000000001</v>
      </c>
      <c r="P170" s="3">
        <v>21.0653263019117</v>
      </c>
      <c r="Q170">
        <v>1.0452715521535789</v>
      </c>
      <c r="R170" s="5">
        <v>53.251198460225901</v>
      </c>
      <c r="S170">
        <v>23.711309699061161</v>
      </c>
      <c r="T170" s="3">
        <f t="shared" si="5"/>
        <v>23.711309699061161</v>
      </c>
      <c r="U170">
        <f t="shared" si="6"/>
        <v>2.6459833971494611</v>
      </c>
    </row>
    <row r="171" spans="1:21" hidden="1" x14ac:dyDescent="0.25">
      <c r="A171" t="s">
        <v>45</v>
      </c>
      <c r="B171">
        <v>11</v>
      </c>
      <c r="C171">
        <v>21</v>
      </c>
      <c r="D171">
        <v>1</v>
      </c>
      <c r="E171">
        <v>2</v>
      </c>
      <c r="F171">
        <v>2</v>
      </c>
      <c r="G171">
        <v>15</v>
      </c>
      <c r="H171" t="s">
        <v>279</v>
      </c>
      <c r="I171" t="s">
        <v>280</v>
      </c>
      <c r="J171" t="s">
        <v>262</v>
      </c>
      <c r="K171" t="s">
        <v>281</v>
      </c>
      <c r="L171">
        <v>2025</v>
      </c>
      <c r="M171" t="s">
        <v>24</v>
      </c>
      <c r="N171">
        <v>1329.05</v>
      </c>
      <c r="O171">
        <v>19</v>
      </c>
      <c r="P171" s="3">
        <v>21.0334528779651</v>
      </c>
      <c r="Q171">
        <v>1.922132745908975</v>
      </c>
      <c r="R171" s="5">
        <v>47.689644663689599</v>
      </c>
      <c r="S171">
        <v>26.436455427505933</v>
      </c>
      <c r="T171" s="3">
        <f t="shared" si="5"/>
        <v>26.436455427505933</v>
      </c>
      <c r="U171">
        <f t="shared" si="6"/>
        <v>5.4030025495408331</v>
      </c>
    </row>
    <row r="172" spans="1:21" hidden="1" x14ac:dyDescent="0.25">
      <c r="A172" t="s">
        <v>64</v>
      </c>
      <c r="B172">
        <v>9</v>
      </c>
      <c r="C172">
        <v>2</v>
      </c>
      <c r="D172">
        <v>1</v>
      </c>
      <c r="E172">
        <v>3</v>
      </c>
      <c r="F172">
        <v>3</v>
      </c>
      <c r="G172">
        <v>16</v>
      </c>
      <c r="H172" t="s">
        <v>296</v>
      </c>
      <c r="I172" t="s">
        <v>297</v>
      </c>
      <c r="J172" t="s">
        <v>262</v>
      </c>
      <c r="K172" t="s">
        <v>298</v>
      </c>
      <c r="L172">
        <v>2025</v>
      </c>
      <c r="M172" t="s">
        <v>24</v>
      </c>
      <c r="N172">
        <v>1301.83</v>
      </c>
      <c r="O172">
        <v>17.5</v>
      </c>
      <c r="P172" s="3">
        <v>20.9842019962277</v>
      </c>
      <c r="Q172">
        <v>1.9458771111588979</v>
      </c>
      <c r="R172" s="5">
        <v>40.945226636803255</v>
      </c>
      <c r="S172">
        <v>30.71891819798439</v>
      </c>
      <c r="T172" s="3">
        <f t="shared" si="5"/>
        <v>30.71891819798439</v>
      </c>
      <c r="U172">
        <f t="shared" si="6"/>
        <v>9.7347162017566902</v>
      </c>
    </row>
    <row r="173" spans="1:21" hidden="1" x14ac:dyDescent="0.25">
      <c r="A173" t="s">
        <v>53</v>
      </c>
      <c r="B173">
        <v>2</v>
      </c>
      <c r="C173">
        <v>17</v>
      </c>
      <c r="D173">
        <v>1</v>
      </c>
      <c r="E173">
        <v>2</v>
      </c>
      <c r="F173">
        <v>2</v>
      </c>
      <c r="G173">
        <v>18</v>
      </c>
      <c r="H173" t="s">
        <v>288</v>
      </c>
      <c r="I173" t="s">
        <v>289</v>
      </c>
      <c r="J173" t="s">
        <v>262</v>
      </c>
      <c r="K173" t="s">
        <v>290</v>
      </c>
      <c r="L173">
        <v>2025</v>
      </c>
      <c r="M173" t="s">
        <v>24</v>
      </c>
      <c r="N173">
        <v>1279.1500000000001</v>
      </c>
      <c r="O173">
        <v>16.5</v>
      </c>
      <c r="P173" s="3">
        <v>20.868545705661798</v>
      </c>
      <c r="Q173">
        <v>0.36506887276385841</v>
      </c>
      <c r="R173" s="5">
        <v>55.929564839542898</v>
      </c>
      <c r="S173">
        <v>22.364926907369632</v>
      </c>
      <c r="T173" s="3">
        <f t="shared" ref="T173:T204" si="7">IF(N173&lt;= 0, -9, N173/ 453.6 / (R173/ 43560) * ((100 - O173) / (100 - 18)) / 100)</f>
        <v>22.364926907369632</v>
      </c>
      <c r="U173">
        <f t="shared" si="6"/>
        <v>1.496381201707834</v>
      </c>
    </row>
    <row r="174" spans="1:21" hidden="1" x14ac:dyDescent="0.25">
      <c r="A174" t="s">
        <v>156</v>
      </c>
      <c r="B174">
        <v>15</v>
      </c>
      <c r="C174">
        <v>29</v>
      </c>
      <c r="D174">
        <v>2</v>
      </c>
      <c r="E174">
        <v>1</v>
      </c>
      <c r="F174">
        <v>9</v>
      </c>
      <c r="G174">
        <v>17</v>
      </c>
      <c r="H174" t="s">
        <v>355</v>
      </c>
      <c r="I174" t="s">
        <v>353</v>
      </c>
      <c r="J174" t="s">
        <v>262</v>
      </c>
      <c r="K174" t="s">
        <v>356</v>
      </c>
      <c r="L174">
        <v>2025</v>
      </c>
      <c r="M174" t="s">
        <v>24</v>
      </c>
      <c r="N174">
        <v>1288.22</v>
      </c>
      <c r="O174">
        <v>17.100000000000001</v>
      </c>
      <c r="P174" s="3">
        <v>20.865500288648398</v>
      </c>
      <c r="Q174">
        <v>2.8298557692018869</v>
      </c>
      <c r="R174" s="5">
        <f>3.33*18</f>
        <v>59.94</v>
      </c>
      <c r="S174">
        <v>20.865500288648438</v>
      </c>
      <c r="T174" s="3">
        <f t="shared" si="7"/>
        <v>20.865500288648438</v>
      </c>
      <c r="U174">
        <f t="shared" si="6"/>
        <v>3.907985046680551E-14</v>
      </c>
    </row>
    <row r="175" spans="1:21" hidden="1" x14ac:dyDescent="0.25">
      <c r="A175" t="s">
        <v>209</v>
      </c>
      <c r="B175">
        <v>5</v>
      </c>
      <c r="C175">
        <v>32</v>
      </c>
      <c r="D175">
        <v>3</v>
      </c>
      <c r="E175">
        <v>5</v>
      </c>
      <c r="F175">
        <v>21</v>
      </c>
      <c r="G175">
        <v>14</v>
      </c>
      <c r="H175" t="s">
        <v>347</v>
      </c>
      <c r="I175" t="s">
        <v>348</v>
      </c>
      <c r="J175" t="s">
        <v>262</v>
      </c>
      <c r="K175" t="s">
        <v>349</v>
      </c>
      <c r="L175">
        <v>2025</v>
      </c>
      <c r="M175" t="s">
        <v>24</v>
      </c>
      <c r="N175">
        <v>1292.76</v>
      </c>
      <c r="O175">
        <v>17.5</v>
      </c>
      <c r="P175" s="3">
        <v>20.838002636783099</v>
      </c>
      <c r="Q175">
        <v>1.316957195988109</v>
      </c>
      <c r="R175" s="5">
        <v>57.175595561896401</v>
      </c>
      <c r="S175">
        <v>21.845507086963739</v>
      </c>
      <c r="T175" s="3">
        <f t="shared" si="7"/>
        <v>21.845507086963739</v>
      </c>
      <c r="U175">
        <f t="shared" si="6"/>
        <v>1.0075044501806403</v>
      </c>
    </row>
    <row r="176" spans="1:21" hidden="1" x14ac:dyDescent="0.25">
      <c r="A176" t="s">
        <v>161</v>
      </c>
      <c r="B176">
        <v>6</v>
      </c>
      <c r="C176">
        <v>3</v>
      </c>
      <c r="D176">
        <v>2</v>
      </c>
      <c r="E176">
        <v>2</v>
      </c>
      <c r="F176">
        <v>10</v>
      </c>
      <c r="G176">
        <v>17</v>
      </c>
      <c r="H176" t="s">
        <v>338</v>
      </c>
      <c r="I176" t="s">
        <v>271</v>
      </c>
      <c r="J176" t="s">
        <v>262</v>
      </c>
      <c r="K176" t="s">
        <v>339</v>
      </c>
      <c r="L176">
        <v>2025</v>
      </c>
      <c r="M176" t="s">
        <v>24</v>
      </c>
      <c r="N176">
        <v>1283.69</v>
      </c>
      <c r="O176">
        <v>17.7</v>
      </c>
      <c r="P176" s="3">
        <v>20.641641329999501</v>
      </c>
      <c r="Q176">
        <v>1.203084670200939</v>
      </c>
      <c r="R176" s="5">
        <v>50.949883081575898</v>
      </c>
      <c r="S176">
        <v>24.283863013761824</v>
      </c>
      <c r="T176" s="3">
        <f t="shared" si="7"/>
        <v>24.283863013761824</v>
      </c>
      <c r="U176">
        <f t="shared" si="6"/>
        <v>3.6422216837623225</v>
      </c>
    </row>
    <row r="177" spans="1:21" hidden="1" x14ac:dyDescent="0.25">
      <c r="A177" t="s">
        <v>208</v>
      </c>
      <c r="B177">
        <v>12</v>
      </c>
      <c r="C177">
        <v>22</v>
      </c>
      <c r="D177">
        <v>3</v>
      </c>
      <c r="E177">
        <v>4</v>
      </c>
      <c r="F177">
        <v>20</v>
      </c>
      <c r="G177">
        <v>18</v>
      </c>
      <c r="H177" t="s">
        <v>324</v>
      </c>
      <c r="I177" t="s">
        <v>280</v>
      </c>
      <c r="J177" t="s">
        <v>262</v>
      </c>
      <c r="K177" t="s">
        <v>325</v>
      </c>
      <c r="L177">
        <v>2025</v>
      </c>
      <c r="M177" t="s">
        <v>24</v>
      </c>
      <c r="N177">
        <v>1279.1500000000001</v>
      </c>
      <c r="O177">
        <v>17.5</v>
      </c>
      <c r="P177" s="3">
        <v>20.6186230026</v>
      </c>
      <c r="Q177">
        <v>2.344043872662386</v>
      </c>
      <c r="R177" s="5">
        <v>55.2310538409507</v>
      </c>
      <c r="S177">
        <v>22.37654683060758</v>
      </c>
      <c r="T177" s="3">
        <f t="shared" si="7"/>
        <v>22.37654683060758</v>
      </c>
      <c r="U177">
        <f t="shared" si="6"/>
        <v>1.7579238280075806</v>
      </c>
    </row>
    <row r="178" spans="1:21" hidden="1" x14ac:dyDescent="0.25">
      <c r="A178" t="s">
        <v>146</v>
      </c>
      <c r="B178">
        <v>14</v>
      </c>
      <c r="C178">
        <v>28</v>
      </c>
      <c r="D178">
        <v>1</v>
      </c>
      <c r="E178">
        <v>7</v>
      </c>
      <c r="F178">
        <v>7</v>
      </c>
      <c r="G178">
        <v>18</v>
      </c>
      <c r="H178" t="s">
        <v>352</v>
      </c>
      <c r="I178" t="s">
        <v>353</v>
      </c>
      <c r="J178" t="s">
        <v>262</v>
      </c>
      <c r="K178" t="s">
        <v>354</v>
      </c>
      <c r="L178">
        <v>2025</v>
      </c>
      <c r="M178" t="s">
        <v>24</v>
      </c>
      <c r="N178">
        <v>1270.08</v>
      </c>
      <c r="O178">
        <v>17</v>
      </c>
      <c r="P178" s="3">
        <v>20.596498937962401</v>
      </c>
      <c r="Q178">
        <v>2.6463008724221169</v>
      </c>
      <c r="R178" s="5">
        <v>56.484517960664398</v>
      </c>
      <c r="S178">
        <v>21.856504948864082</v>
      </c>
      <c r="T178" s="3">
        <f t="shared" si="7"/>
        <v>21.856504948864082</v>
      </c>
      <c r="U178">
        <f t="shared" si="6"/>
        <v>1.2600060109016802</v>
      </c>
    </row>
    <row r="179" spans="1:21" hidden="1" x14ac:dyDescent="0.25">
      <c r="A179" t="s">
        <v>195</v>
      </c>
      <c r="B179">
        <v>20</v>
      </c>
      <c r="C179">
        <v>9</v>
      </c>
      <c r="D179">
        <v>3</v>
      </c>
      <c r="E179">
        <v>2</v>
      </c>
      <c r="F179">
        <v>18</v>
      </c>
      <c r="G179">
        <v>15</v>
      </c>
      <c r="H179" t="s">
        <v>311</v>
      </c>
      <c r="I179" t="s">
        <v>307</v>
      </c>
      <c r="J179" t="s">
        <v>262</v>
      </c>
      <c r="K179" t="s">
        <v>312</v>
      </c>
      <c r="L179">
        <v>2025</v>
      </c>
      <c r="M179" t="s">
        <v>24</v>
      </c>
      <c r="N179">
        <v>1288.22</v>
      </c>
      <c r="O179">
        <v>18.3</v>
      </c>
      <c r="P179" s="3">
        <v>20.5634665088369</v>
      </c>
      <c r="Q179">
        <v>3.643879041988817</v>
      </c>
      <c r="R179" s="5">
        <f>3.33*18</f>
        <v>59.94</v>
      </c>
      <c r="S179">
        <v>20.563466508836878</v>
      </c>
      <c r="T179" s="3">
        <f t="shared" si="7"/>
        <v>20.563466508836878</v>
      </c>
      <c r="U179">
        <f t="shared" si="6"/>
        <v>0</v>
      </c>
    </row>
    <row r="180" spans="1:21" hidden="1" x14ac:dyDescent="0.25">
      <c r="A180" t="s">
        <v>60</v>
      </c>
      <c r="B180">
        <v>1</v>
      </c>
      <c r="C180">
        <v>8</v>
      </c>
      <c r="D180">
        <v>1</v>
      </c>
      <c r="E180">
        <v>3</v>
      </c>
      <c r="F180">
        <v>3</v>
      </c>
      <c r="G180">
        <v>15</v>
      </c>
      <c r="H180" t="s">
        <v>293</v>
      </c>
      <c r="I180" t="s">
        <v>294</v>
      </c>
      <c r="J180" t="s">
        <v>262</v>
      </c>
      <c r="K180" t="s">
        <v>295</v>
      </c>
      <c r="L180">
        <v>2025</v>
      </c>
      <c r="M180" t="s">
        <v>24</v>
      </c>
      <c r="N180">
        <v>1288.22</v>
      </c>
      <c r="O180">
        <v>18.5</v>
      </c>
      <c r="P180" s="3">
        <v>20.513127545534999</v>
      </c>
      <c r="Q180">
        <v>0.19034366613941339</v>
      </c>
      <c r="R180" s="5">
        <v>54.048840187958</v>
      </c>
      <c r="S180">
        <v>22.748996293047348</v>
      </c>
      <c r="T180" s="3">
        <f t="shared" si="7"/>
        <v>22.748996293047348</v>
      </c>
      <c r="U180">
        <f t="shared" si="6"/>
        <v>2.2358687475123489</v>
      </c>
    </row>
    <row r="181" spans="1:21" hidden="1" x14ac:dyDescent="0.25">
      <c r="A181" t="s">
        <v>375</v>
      </c>
      <c r="B181">
        <v>18</v>
      </c>
      <c r="C181">
        <v>15</v>
      </c>
      <c r="D181">
        <v>2</v>
      </c>
      <c r="E181">
        <v>8</v>
      </c>
      <c r="F181">
        <v>16</v>
      </c>
      <c r="G181">
        <v>18</v>
      </c>
      <c r="H181" t="s">
        <v>309</v>
      </c>
      <c r="I181" t="s">
        <v>289</v>
      </c>
      <c r="J181" t="s">
        <v>262</v>
      </c>
      <c r="K181" t="s">
        <v>310</v>
      </c>
      <c r="L181">
        <v>2025</v>
      </c>
      <c r="M181" t="s">
        <v>24</v>
      </c>
      <c r="N181">
        <v>1256.47</v>
      </c>
      <c r="O181">
        <v>16.7</v>
      </c>
      <c r="P181" s="3">
        <v>20.449437162998599</v>
      </c>
      <c r="Q181">
        <v>2.8537503854418591</v>
      </c>
      <c r="R181" s="5">
        <v>45.71748377385763</v>
      </c>
      <c r="S181">
        <v>26.811170746257108</v>
      </c>
      <c r="T181" s="3">
        <f t="shared" si="7"/>
        <v>26.811170746257108</v>
      </c>
      <c r="U181">
        <f t="shared" si="6"/>
        <v>6.3617335832585091</v>
      </c>
    </row>
    <row r="182" spans="1:21" hidden="1" x14ac:dyDescent="0.25">
      <c r="A182" t="s">
        <v>376</v>
      </c>
      <c r="B182">
        <v>17</v>
      </c>
      <c r="C182">
        <v>17</v>
      </c>
      <c r="D182">
        <v>3</v>
      </c>
      <c r="E182">
        <v>2</v>
      </c>
      <c r="F182">
        <v>18</v>
      </c>
      <c r="G182">
        <v>14</v>
      </c>
      <c r="H182" t="s">
        <v>288</v>
      </c>
      <c r="I182" t="s">
        <v>289</v>
      </c>
      <c r="J182" t="s">
        <v>262</v>
      </c>
      <c r="K182" t="s">
        <v>290</v>
      </c>
      <c r="L182">
        <v>2025</v>
      </c>
      <c r="M182" t="s">
        <v>24</v>
      </c>
      <c r="N182">
        <v>1265.54</v>
      </c>
      <c r="O182">
        <v>17.5</v>
      </c>
      <c r="P182" s="3">
        <v>20.399243368416801</v>
      </c>
      <c r="Q182">
        <v>3.2266880644721132</v>
      </c>
      <c r="R182" s="5">
        <v>49.731747657171383</v>
      </c>
      <c r="S182">
        <v>24.586520786115674</v>
      </c>
      <c r="T182" s="3">
        <f t="shared" si="7"/>
        <v>24.586520786115674</v>
      </c>
      <c r="U182">
        <f t="shared" si="6"/>
        <v>4.1872774176988727</v>
      </c>
    </row>
    <row r="183" spans="1:21" hidden="1" x14ac:dyDescent="0.25">
      <c r="A183" t="s">
        <v>164</v>
      </c>
      <c r="B183">
        <v>1</v>
      </c>
      <c r="C183">
        <v>27</v>
      </c>
      <c r="D183">
        <v>2</v>
      </c>
      <c r="E183">
        <v>3</v>
      </c>
      <c r="F183">
        <v>11</v>
      </c>
      <c r="G183">
        <v>15</v>
      </c>
      <c r="H183" t="s">
        <v>362</v>
      </c>
      <c r="I183" t="s">
        <v>363</v>
      </c>
      <c r="J183" t="s">
        <v>262</v>
      </c>
      <c r="K183" t="s">
        <v>364</v>
      </c>
      <c r="L183">
        <v>2025</v>
      </c>
      <c r="M183" t="s">
        <v>24</v>
      </c>
      <c r="N183">
        <v>1270.08</v>
      </c>
      <c r="O183">
        <v>18.5</v>
      </c>
      <c r="P183" s="3">
        <v>20.2242730535413</v>
      </c>
      <c r="Q183">
        <v>0.2239756273619293</v>
      </c>
      <c r="R183" s="5">
        <v>48.410851255361067</v>
      </c>
      <c r="S183">
        <v>25.040727345091319</v>
      </c>
      <c r="T183" s="3">
        <f t="shared" si="7"/>
        <v>25.040727345091319</v>
      </c>
      <c r="U183">
        <f t="shared" si="6"/>
        <v>4.8164542915500199</v>
      </c>
    </row>
    <row r="184" spans="1:21" hidden="1" x14ac:dyDescent="0.25">
      <c r="A184" t="s">
        <v>163</v>
      </c>
      <c r="B184">
        <v>3</v>
      </c>
      <c r="C184">
        <v>35</v>
      </c>
      <c r="D184">
        <v>2</v>
      </c>
      <c r="E184">
        <v>3</v>
      </c>
      <c r="F184">
        <v>11</v>
      </c>
      <c r="G184">
        <v>14</v>
      </c>
      <c r="H184" t="s">
        <v>326</v>
      </c>
      <c r="I184" t="s">
        <v>274</v>
      </c>
      <c r="J184" t="s">
        <v>262</v>
      </c>
      <c r="K184" t="s">
        <v>327</v>
      </c>
      <c r="L184">
        <v>2025</v>
      </c>
      <c r="M184" t="s">
        <v>24</v>
      </c>
      <c r="N184">
        <v>1288.22</v>
      </c>
      <c r="O184">
        <v>19.8</v>
      </c>
      <c r="P184" s="3">
        <v>20.185924284072399</v>
      </c>
      <c r="Q184">
        <v>0.77249375633618111</v>
      </c>
      <c r="R184" s="5">
        <v>46.315045543827019</v>
      </c>
      <c r="S184">
        <v>26.124217030993851</v>
      </c>
      <c r="T184" s="3">
        <f t="shared" si="7"/>
        <v>26.124217030993851</v>
      </c>
      <c r="U184">
        <f t="shared" si="6"/>
        <v>5.9382927469214515</v>
      </c>
    </row>
    <row r="185" spans="1:21" hidden="1" x14ac:dyDescent="0.25">
      <c r="A185" t="s">
        <v>142</v>
      </c>
      <c r="B185">
        <v>0</v>
      </c>
      <c r="C185">
        <v>16</v>
      </c>
      <c r="D185">
        <v>1</v>
      </c>
      <c r="E185">
        <v>7</v>
      </c>
      <c r="F185">
        <v>7</v>
      </c>
      <c r="G185">
        <v>17</v>
      </c>
      <c r="H185" t="s">
        <v>350</v>
      </c>
      <c r="I185" t="s">
        <v>289</v>
      </c>
      <c r="J185" t="s">
        <v>262</v>
      </c>
      <c r="K185" t="s">
        <v>351</v>
      </c>
      <c r="L185">
        <v>2025</v>
      </c>
      <c r="M185" t="s">
        <v>24</v>
      </c>
      <c r="N185">
        <v>1220.18</v>
      </c>
      <c r="O185">
        <v>15.4</v>
      </c>
      <c r="P185" s="3">
        <v>20.168727554499899</v>
      </c>
      <c r="S185" t="e">
        <v>#DIV/0!</v>
      </c>
      <c r="T185" s="3" t="e">
        <f t="shared" si="7"/>
        <v>#DIV/0!</v>
      </c>
      <c r="U185" t="e">
        <f t="shared" si="6"/>
        <v>#DIV/0!</v>
      </c>
    </row>
    <row r="186" spans="1:21" hidden="1" x14ac:dyDescent="0.25">
      <c r="A186" t="s">
        <v>41</v>
      </c>
      <c r="B186">
        <v>27</v>
      </c>
      <c r="C186">
        <v>39</v>
      </c>
      <c r="D186">
        <v>1</v>
      </c>
      <c r="E186">
        <v>2</v>
      </c>
      <c r="F186">
        <v>2</v>
      </c>
      <c r="G186">
        <v>14</v>
      </c>
      <c r="H186" t="s">
        <v>276</v>
      </c>
      <c r="I186" t="s">
        <v>277</v>
      </c>
      <c r="J186" t="s">
        <v>262</v>
      </c>
      <c r="K186" t="s">
        <v>278</v>
      </c>
      <c r="L186">
        <v>2025</v>
      </c>
      <c r="M186" t="s">
        <v>24</v>
      </c>
      <c r="N186">
        <v>1256.47</v>
      </c>
      <c r="O186">
        <v>18.100000000000001</v>
      </c>
      <c r="P186" s="3">
        <v>20.1057491434524</v>
      </c>
      <c r="Q186">
        <v>3.890362099110547</v>
      </c>
      <c r="R186" s="5">
        <v>56.875468598616017</v>
      </c>
      <c r="S186">
        <v>21.189075595376494</v>
      </c>
      <c r="T186" s="3">
        <f t="shared" si="7"/>
        <v>21.189075595376494</v>
      </c>
      <c r="U186">
        <f t="shared" si="6"/>
        <v>1.0833264519240942</v>
      </c>
    </row>
    <row r="187" spans="1:21" hidden="1" x14ac:dyDescent="0.25">
      <c r="A187" t="s">
        <v>91</v>
      </c>
      <c r="B187">
        <v>52</v>
      </c>
      <c r="C187">
        <v>40</v>
      </c>
      <c r="D187">
        <v>1</v>
      </c>
      <c r="E187">
        <v>5</v>
      </c>
      <c r="F187">
        <v>5</v>
      </c>
      <c r="G187">
        <v>14</v>
      </c>
      <c r="H187" t="s">
        <v>319</v>
      </c>
      <c r="I187" t="s">
        <v>320</v>
      </c>
      <c r="J187" t="s">
        <v>262</v>
      </c>
      <c r="K187" t="s">
        <v>321</v>
      </c>
      <c r="L187">
        <v>2025</v>
      </c>
      <c r="M187" t="s">
        <v>24</v>
      </c>
      <c r="N187">
        <v>1251.94</v>
      </c>
      <c r="O187">
        <v>18.7</v>
      </c>
      <c r="P187" s="3">
        <v>19.886497289004101</v>
      </c>
      <c r="Q187">
        <v>5.2577012853208007</v>
      </c>
      <c r="R187" s="5">
        <f>3.33*18</f>
        <v>59.94</v>
      </c>
      <c r="S187">
        <v>19.886497289004065</v>
      </c>
      <c r="T187" s="3">
        <f t="shared" si="7"/>
        <v>19.886497289004065</v>
      </c>
      <c r="U187">
        <f t="shared" si="6"/>
        <v>-3.5527136788005009E-14</v>
      </c>
    </row>
    <row r="188" spans="1:21" hidden="1" x14ac:dyDescent="0.25">
      <c r="A188" t="s">
        <v>205</v>
      </c>
      <c r="B188">
        <v>24</v>
      </c>
      <c r="C188">
        <v>19</v>
      </c>
      <c r="D188">
        <v>3</v>
      </c>
      <c r="E188">
        <v>4</v>
      </c>
      <c r="F188">
        <v>20</v>
      </c>
      <c r="G188">
        <v>15</v>
      </c>
      <c r="H188" t="s">
        <v>299</v>
      </c>
      <c r="I188" t="s">
        <v>300</v>
      </c>
      <c r="J188" t="s">
        <v>262</v>
      </c>
      <c r="K188" t="s">
        <v>301</v>
      </c>
      <c r="L188">
        <v>2025</v>
      </c>
      <c r="M188" t="s">
        <v>24</v>
      </c>
      <c r="N188">
        <v>1242.8599999999999</v>
      </c>
      <c r="O188">
        <v>18.2</v>
      </c>
      <c r="P188" s="3">
        <v>19.863681767972601</v>
      </c>
      <c r="Q188">
        <v>3.6572954563362439</v>
      </c>
      <c r="R188" s="5">
        <v>54.366762562457701</v>
      </c>
      <c r="S188">
        <v>21.899944544324484</v>
      </c>
      <c r="T188" s="3">
        <f t="shared" si="7"/>
        <v>21.899944544324484</v>
      </c>
      <c r="U188">
        <f t="shared" si="6"/>
        <v>2.036262776351883</v>
      </c>
    </row>
    <row r="189" spans="1:21" hidden="1" x14ac:dyDescent="0.25">
      <c r="A189" t="s">
        <v>371</v>
      </c>
      <c r="B189">
        <v>11</v>
      </c>
      <c r="C189">
        <v>2</v>
      </c>
      <c r="D189">
        <v>2</v>
      </c>
      <c r="E189">
        <v>6</v>
      </c>
      <c r="F189">
        <v>14</v>
      </c>
      <c r="G189">
        <v>16</v>
      </c>
      <c r="H189" t="s">
        <v>296</v>
      </c>
      <c r="I189" t="s">
        <v>297</v>
      </c>
      <c r="J189" t="s">
        <v>262</v>
      </c>
      <c r="K189" t="s">
        <v>298</v>
      </c>
      <c r="L189">
        <v>2025</v>
      </c>
      <c r="M189" t="s">
        <v>24</v>
      </c>
      <c r="N189">
        <v>1229.26</v>
      </c>
      <c r="O189">
        <v>17.399999999999999</v>
      </c>
      <c r="P189" s="3">
        <v>19.8384634408573</v>
      </c>
      <c r="Q189">
        <v>1.8758074020219071</v>
      </c>
      <c r="R189" s="5">
        <v>48.191003294623613</v>
      </c>
      <c r="S189">
        <v>24.675093219685035</v>
      </c>
      <c r="T189" s="3">
        <f t="shared" si="7"/>
        <v>24.675093219685035</v>
      </c>
      <c r="U189">
        <f t="shared" si="6"/>
        <v>4.836629778827735</v>
      </c>
    </row>
    <row r="190" spans="1:21" hidden="1" x14ac:dyDescent="0.25">
      <c r="A190" t="s">
        <v>207</v>
      </c>
      <c r="B190">
        <v>14</v>
      </c>
      <c r="C190">
        <v>15</v>
      </c>
      <c r="D190">
        <v>3</v>
      </c>
      <c r="E190">
        <v>4</v>
      </c>
      <c r="F190">
        <v>20</v>
      </c>
      <c r="G190">
        <v>17</v>
      </c>
      <c r="H190" t="s">
        <v>309</v>
      </c>
      <c r="I190" t="s">
        <v>289</v>
      </c>
      <c r="J190" t="s">
        <v>262</v>
      </c>
      <c r="K190" t="s">
        <v>310</v>
      </c>
      <c r="L190">
        <v>2025</v>
      </c>
      <c r="M190" t="s">
        <v>24</v>
      </c>
      <c r="N190">
        <v>1220.81</v>
      </c>
      <c r="O190">
        <v>17.3</v>
      </c>
      <c r="P190" s="3">
        <v>19.725945178305199</v>
      </c>
      <c r="Q190">
        <v>2.396125498700107</v>
      </c>
      <c r="R190" s="5">
        <v>50.791655255458103</v>
      </c>
      <c r="S190">
        <v>23.278886030408561</v>
      </c>
      <c r="T190" s="3">
        <f t="shared" si="7"/>
        <v>23.278886030408561</v>
      </c>
      <c r="U190">
        <f t="shared" si="6"/>
        <v>3.5529408521033616</v>
      </c>
    </row>
    <row r="191" spans="1:21" hidden="1" x14ac:dyDescent="0.25">
      <c r="A191" t="s">
        <v>103</v>
      </c>
      <c r="B191">
        <v>7</v>
      </c>
      <c r="C191">
        <v>35</v>
      </c>
      <c r="D191">
        <v>1</v>
      </c>
      <c r="E191">
        <v>5</v>
      </c>
      <c r="F191">
        <v>5</v>
      </c>
      <c r="G191">
        <v>17</v>
      </c>
      <c r="H191" t="s">
        <v>326</v>
      </c>
      <c r="I191" t="s">
        <v>274</v>
      </c>
      <c r="J191" t="s">
        <v>262</v>
      </c>
      <c r="K191" t="s">
        <v>327</v>
      </c>
      <c r="L191">
        <v>2025</v>
      </c>
      <c r="M191" t="s">
        <v>24</v>
      </c>
      <c r="N191">
        <v>1265.54</v>
      </c>
      <c r="O191">
        <v>20.3</v>
      </c>
      <c r="P191" s="3">
        <v>19.706905411670501</v>
      </c>
      <c r="Q191">
        <v>1.3861766593752261</v>
      </c>
      <c r="R191" s="5">
        <v>44.920666943849</v>
      </c>
      <c r="S191">
        <v>26.295956644011468</v>
      </c>
      <c r="T191" s="3">
        <f t="shared" si="7"/>
        <v>26.295956644011468</v>
      </c>
      <c r="U191">
        <f t="shared" si="6"/>
        <v>6.5890512323409673</v>
      </c>
    </row>
    <row r="192" spans="1:21" hidden="1" x14ac:dyDescent="0.25">
      <c r="A192" t="s">
        <v>210</v>
      </c>
      <c r="B192">
        <v>35</v>
      </c>
      <c r="C192">
        <v>39</v>
      </c>
      <c r="D192">
        <v>3</v>
      </c>
      <c r="E192">
        <v>5</v>
      </c>
      <c r="F192">
        <v>21</v>
      </c>
      <c r="G192">
        <v>15</v>
      </c>
      <c r="H192" t="s">
        <v>276</v>
      </c>
      <c r="I192" t="s">
        <v>277</v>
      </c>
      <c r="J192" t="s">
        <v>262</v>
      </c>
      <c r="K192" t="s">
        <v>278</v>
      </c>
      <c r="L192">
        <v>2025</v>
      </c>
      <c r="M192" t="s">
        <v>24</v>
      </c>
      <c r="N192">
        <v>1229.26</v>
      </c>
      <c r="O192">
        <v>18</v>
      </c>
      <c r="P192" s="3">
        <v>19.694358379543601</v>
      </c>
      <c r="Q192">
        <v>4.4078028182329696</v>
      </c>
      <c r="R192" s="5">
        <f>3.33*18</f>
        <v>59.94</v>
      </c>
      <c r="S192">
        <v>19.694358379543566</v>
      </c>
      <c r="T192" s="3">
        <f t="shared" si="7"/>
        <v>19.694358379543566</v>
      </c>
      <c r="U192">
        <f t="shared" si="6"/>
        <v>-3.5527136788005009E-14</v>
      </c>
    </row>
    <row r="193" spans="1:21" hidden="1" x14ac:dyDescent="0.25">
      <c r="A193" t="s">
        <v>29</v>
      </c>
      <c r="B193">
        <v>14</v>
      </c>
      <c r="C193">
        <v>31</v>
      </c>
      <c r="D193">
        <v>1</v>
      </c>
      <c r="E193">
        <v>1</v>
      </c>
      <c r="F193">
        <v>1</v>
      </c>
      <c r="G193">
        <v>16</v>
      </c>
      <c r="H193" t="s">
        <v>267</v>
      </c>
      <c r="I193" t="s">
        <v>268</v>
      </c>
      <c r="J193" t="s">
        <v>262</v>
      </c>
      <c r="K193" t="s">
        <v>269</v>
      </c>
      <c r="L193">
        <v>2025</v>
      </c>
      <c r="M193" t="s">
        <v>24</v>
      </c>
      <c r="N193">
        <v>1174.82</v>
      </c>
      <c r="O193">
        <v>14.3</v>
      </c>
      <c r="P193" s="3">
        <v>19.671450638275399</v>
      </c>
      <c r="Q193">
        <v>3.1962011498482612</v>
      </c>
      <c r="R193" s="5">
        <v>44.403589556851692</v>
      </c>
      <c r="S193">
        <v>26.554311555118069</v>
      </c>
      <c r="T193" s="3">
        <f t="shared" si="7"/>
        <v>26.554311555118069</v>
      </c>
      <c r="U193">
        <f t="shared" si="6"/>
        <v>6.8828609168426702</v>
      </c>
    </row>
    <row r="194" spans="1:21" hidden="1" x14ac:dyDescent="0.25">
      <c r="A194" t="s">
        <v>204</v>
      </c>
      <c r="B194">
        <v>23</v>
      </c>
      <c r="C194">
        <v>33</v>
      </c>
      <c r="D194">
        <v>3</v>
      </c>
      <c r="E194">
        <v>4</v>
      </c>
      <c r="F194">
        <v>20</v>
      </c>
      <c r="G194">
        <v>14</v>
      </c>
      <c r="H194" t="s">
        <v>335</v>
      </c>
      <c r="I194" t="s">
        <v>336</v>
      </c>
      <c r="J194" t="s">
        <v>262</v>
      </c>
      <c r="K194" t="s">
        <v>337</v>
      </c>
      <c r="L194">
        <v>2025</v>
      </c>
      <c r="M194" t="s">
        <v>24</v>
      </c>
      <c r="N194">
        <v>1215.6500000000001</v>
      </c>
      <c r="O194">
        <v>17.3</v>
      </c>
      <c r="P194" s="3">
        <v>19.642569487476901</v>
      </c>
      <c r="Q194">
        <v>3.7401069020899942</v>
      </c>
      <c r="R194" s="5">
        <f>3.33*18</f>
        <v>59.94</v>
      </c>
      <c r="S194">
        <v>19.642569487476898</v>
      </c>
      <c r="T194" s="3">
        <f t="shared" si="7"/>
        <v>19.642569487476898</v>
      </c>
      <c r="U194">
        <f t="shared" si="6"/>
        <v>0</v>
      </c>
    </row>
    <row r="195" spans="1:21" hidden="1" x14ac:dyDescent="0.25">
      <c r="A195" t="s">
        <v>374</v>
      </c>
      <c r="B195">
        <v>22</v>
      </c>
      <c r="C195">
        <v>31</v>
      </c>
      <c r="D195">
        <v>2</v>
      </c>
      <c r="E195">
        <v>8</v>
      </c>
      <c r="F195">
        <v>16</v>
      </c>
      <c r="G195">
        <v>17</v>
      </c>
      <c r="H195" t="s">
        <v>267</v>
      </c>
      <c r="I195" t="s">
        <v>268</v>
      </c>
      <c r="J195" t="s">
        <v>262</v>
      </c>
      <c r="K195" t="s">
        <v>269</v>
      </c>
      <c r="L195">
        <v>2025</v>
      </c>
      <c r="M195" t="s">
        <v>24</v>
      </c>
      <c r="N195">
        <v>1224.72</v>
      </c>
      <c r="O195">
        <v>18.100000000000001</v>
      </c>
      <c r="P195" s="3">
        <v>19.597692814765999</v>
      </c>
      <c r="Q195">
        <v>3.5740228295266019</v>
      </c>
      <c r="R195" s="5">
        <v>53.470424334741402</v>
      </c>
      <c r="S195">
        <v>21.968886948851896</v>
      </c>
      <c r="T195" s="3">
        <f t="shared" si="7"/>
        <v>21.968886948851896</v>
      </c>
      <c r="U195">
        <f t="shared" si="6"/>
        <v>2.3711941340858971</v>
      </c>
    </row>
    <row r="196" spans="1:21" hidden="1" x14ac:dyDescent="0.25">
      <c r="A196" t="s">
        <v>365</v>
      </c>
      <c r="B196">
        <v>8</v>
      </c>
      <c r="C196">
        <v>26</v>
      </c>
      <c r="D196">
        <v>1</v>
      </c>
      <c r="E196">
        <v>8</v>
      </c>
      <c r="F196">
        <v>8</v>
      </c>
      <c r="G196">
        <v>17</v>
      </c>
      <c r="H196" t="s">
        <v>366</v>
      </c>
      <c r="I196" t="s">
        <v>363</v>
      </c>
      <c r="J196" t="s">
        <v>262</v>
      </c>
      <c r="K196" t="s">
        <v>367</v>
      </c>
      <c r="L196">
        <v>2025</v>
      </c>
      <c r="M196" t="s">
        <v>24</v>
      </c>
      <c r="N196">
        <v>1215.6500000000001</v>
      </c>
      <c r="O196">
        <v>17.600000000000001</v>
      </c>
      <c r="P196" s="3">
        <v>19.571314700944299</v>
      </c>
      <c r="Q196">
        <v>1.4841672328744591</v>
      </c>
      <c r="R196" s="5">
        <v>43.97542767793739</v>
      </c>
      <c r="S196">
        <v>26.676365987070398</v>
      </c>
      <c r="T196" s="3">
        <f t="shared" si="7"/>
        <v>26.676365987070398</v>
      </c>
      <c r="U196">
        <f t="shared" si="6"/>
        <v>7.1050512861260984</v>
      </c>
    </row>
    <row r="197" spans="1:21" hidden="1" x14ac:dyDescent="0.25">
      <c r="A197" t="s">
        <v>37</v>
      </c>
      <c r="B197">
        <v>8</v>
      </c>
      <c r="C197">
        <v>34</v>
      </c>
      <c r="D197">
        <v>1</v>
      </c>
      <c r="E197">
        <v>1</v>
      </c>
      <c r="F197">
        <v>1</v>
      </c>
      <c r="G197">
        <v>18</v>
      </c>
      <c r="H197" t="s">
        <v>273</v>
      </c>
      <c r="I197" t="s">
        <v>274</v>
      </c>
      <c r="J197" t="s">
        <v>262</v>
      </c>
      <c r="K197" t="s">
        <v>275</v>
      </c>
      <c r="L197">
        <v>2025</v>
      </c>
      <c r="M197" t="s">
        <v>24</v>
      </c>
      <c r="N197">
        <v>1152.1400000000001</v>
      </c>
      <c r="O197">
        <v>14.3</v>
      </c>
      <c r="P197" s="3">
        <v>19.2916916109554</v>
      </c>
      <c r="Q197">
        <v>1.767767402756</v>
      </c>
      <c r="R197" s="5">
        <v>51.028071546525311</v>
      </c>
      <c r="S197">
        <v>22.660938579784634</v>
      </c>
      <c r="T197" s="3">
        <f t="shared" si="7"/>
        <v>22.660938579784634</v>
      </c>
      <c r="U197">
        <f t="shared" si="6"/>
        <v>3.3692469688292341</v>
      </c>
    </row>
    <row r="198" spans="1:21" hidden="1" x14ac:dyDescent="0.25">
      <c r="A198" t="s">
        <v>158</v>
      </c>
      <c r="B198">
        <v>9</v>
      </c>
      <c r="C198">
        <v>4</v>
      </c>
      <c r="D198">
        <v>2</v>
      </c>
      <c r="E198">
        <v>2</v>
      </c>
      <c r="F198">
        <v>10</v>
      </c>
      <c r="G198">
        <v>14</v>
      </c>
      <c r="H198" t="s">
        <v>291</v>
      </c>
      <c r="I198" t="s">
        <v>271</v>
      </c>
      <c r="J198" t="s">
        <v>262</v>
      </c>
      <c r="K198" t="s">
        <v>292</v>
      </c>
      <c r="L198">
        <v>2025</v>
      </c>
      <c r="M198" t="s">
        <v>24</v>
      </c>
      <c r="N198">
        <v>1192.97</v>
      </c>
      <c r="O198">
        <v>17.8</v>
      </c>
      <c r="P198" s="3">
        <v>19.1595618944535</v>
      </c>
      <c r="Q198">
        <v>2.1397588126132421</v>
      </c>
      <c r="R198" s="5">
        <v>51.032149883087669</v>
      </c>
      <c r="S198">
        <v>22.503934139253971</v>
      </c>
      <c r="T198" s="3">
        <f t="shared" si="7"/>
        <v>22.503934139253971</v>
      </c>
      <c r="U198">
        <f t="shared" si="6"/>
        <v>3.3443722448004713</v>
      </c>
    </row>
    <row r="199" spans="1:21" hidden="1" x14ac:dyDescent="0.25">
      <c r="A199" t="s">
        <v>214</v>
      </c>
      <c r="B199">
        <v>16</v>
      </c>
      <c r="C199">
        <v>29</v>
      </c>
      <c r="D199">
        <v>3</v>
      </c>
      <c r="E199">
        <v>6</v>
      </c>
      <c r="F199">
        <v>22</v>
      </c>
      <c r="G199">
        <v>14</v>
      </c>
      <c r="H199" t="s">
        <v>355</v>
      </c>
      <c r="I199" t="s">
        <v>353</v>
      </c>
      <c r="J199" t="s">
        <v>262</v>
      </c>
      <c r="K199" t="s">
        <v>356</v>
      </c>
      <c r="L199">
        <v>2025</v>
      </c>
      <c r="M199" t="s">
        <v>24</v>
      </c>
      <c r="N199">
        <v>1188.43</v>
      </c>
      <c r="O199">
        <v>17.7</v>
      </c>
      <c r="P199" s="3">
        <v>19.1098674958996</v>
      </c>
      <c r="Q199">
        <v>3.5315628482652479</v>
      </c>
      <c r="R199" s="5">
        <f>3.33*18</f>
        <v>59.94</v>
      </c>
      <c r="S199">
        <v>19.109867495899564</v>
      </c>
      <c r="T199" s="3">
        <f t="shared" si="7"/>
        <v>19.109867495899564</v>
      </c>
      <c r="U199">
        <f t="shared" si="6"/>
        <v>-3.5527136788005009E-14</v>
      </c>
    </row>
    <row r="200" spans="1:21" hidden="1" x14ac:dyDescent="0.25">
      <c r="A200" t="s">
        <v>83</v>
      </c>
      <c r="B200">
        <v>7</v>
      </c>
      <c r="C200">
        <v>11</v>
      </c>
      <c r="D200">
        <v>1</v>
      </c>
      <c r="E200">
        <v>4</v>
      </c>
      <c r="F200">
        <v>4</v>
      </c>
      <c r="G200">
        <v>17</v>
      </c>
      <c r="H200" t="s">
        <v>313</v>
      </c>
      <c r="I200" t="s">
        <v>314</v>
      </c>
      <c r="J200" t="s">
        <v>262</v>
      </c>
      <c r="K200" t="s">
        <v>315</v>
      </c>
      <c r="L200">
        <v>2025</v>
      </c>
      <c r="M200" t="s">
        <v>24</v>
      </c>
      <c r="N200">
        <v>1174.82</v>
      </c>
      <c r="O200">
        <v>17</v>
      </c>
      <c r="P200" s="3">
        <v>19.051696650838501</v>
      </c>
      <c r="Q200">
        <v>1.321327862486076</v>
      </c>
      <c r="R200" s="5">
        <v>44.222640979013867</v>
      </c>
      <c r="S200">
        <v>25.822942094145436</v>
      </c>
      <c r="T200" s="3">
        <f t="shared" si="7"/>
        <v>25.822942094145436</v>
      </c>
      <c r="U200">
        <f t="shared" si="6"/>
        <v>6.7712454433069347</v>
      </c>
    </row>
    <row r="201" spans="1:21" hidden="1" x14ac:dyDescent="0.25">
      <c r="A201" t="s">
        <v>171</v>
      </c>
      <c r="B201">
        <v>7</v>
      </c>
      <c r="C201">
        <v>28</v>
      </c>
      <c r="D201">
        <v>2</v>
      </c>
      <c r="E201">
        <v>4</v>
      </c>
      <c r="F201">
        <v>12</v>
      </c>
      <c r="G201">
        <v>15</v>
      </c>
      <c r="H201" t="s">
        <v>352</v>
      </c>
      <c r="I201" t="s">
        <v>353</v>
      </c>
      <c r="J201" t="s">
        <v>262</v>
      </c>
      <c r="K201" t="s">
        <v>354</v>
      </c>
      <c r="L201">
        <v>2025</v>
      </c>
      <c r="M201" t="s">
        <v>24</v>
      </c>
      <c r="N201">
        <v>1179.3599999999999</v>
      </c>
      <c r="O201">
        <v>17.600000000000001</v>
      </c>
      <c r="P201" s="3">
        <v>18.987065113894399</v>
      </c>
      <c r="Q201">
        <v>1.4378889850641621</v>
      </c>
      <c r="R201" s="5">
        <v>43.477293246332138</v>
      </c>
      <c r="S201">
        <v>26.176530274750739</v>
      </c>
      <c r="T201" s="3">
        <f t="shared" si="7"/>
        <v>26.176530274750739</v>
      </c>
      <c r="U201">
        <f t="shared" si="6"/>
        <v>7.18946516085634</v>
      </c>
    </row>
    <row r="202" spans="1:21" hidden="1" x14ac:dyDescent="0.25">
      <c r="A202" t="s">
        <v>175</v>
      </c>
      <c r="B202">
        <v>0</v>
      </c>
      <c r="C202">
        <v>32</v>
      </c>
      <c r="D202">
        <v>2</v>
      </c>
      <c r="E202">
        <v>5</v>
      </c>
      <c r="F202">
        <v>13</v>
      </c>
      <c r="G202">
        <v>14</v>
      </c>
      <c r="H202" t="s">
        <v>347</v>
      </c>
      <c r="I202" t="s">
        <v>348</v>
      </c>
      <c r="J202" t="s">
        <v>262</v>
      </c>
      <c r="K202" t="s">
        <v>349</v>
      </c>
      <c r="L202">
        <v>2025</v>
      </c>
      <c r="M202" t="s">
        <v>24</v>
      </c>
      <c r="N202">
        <v>1179.3599999999999</v>
      </c>
      <c r="O202">
        <v>17.8</v>
      </c>
      <c r="P202" s="3">
        <v>18.9409800043946</v>
      </c>
      <c r="S202" t="e">
        <v>#DIV/0!</v>
      </c>
      <c r="T202" s="3" t="e">
        <f t="shared" si="7"/>
        <v>#DIV/0!</v>
      </c>
      <c r="U202" t="e">
        <f t="shared" si="6"/>
        <v>#DIV/0!</v>
      </c>
    </row>
    <row r="203" spans="1:21" hidden="1" x14ac:dyDescent="0.25">
      <c r="A203" t="s">
        <v>215</v>
      </c>
      <c r="B203">
        <v>2</v>
      </c>
      <c r="C203">
        <v>23</v>
      </c>
      <c r="D203">
        <v>3</v>
      </c>
      <c r="E203">
        <v>6</v>
      </c>
      <c r="F203">
        <v>22</v>
      </c>
      <c r="G203">
        <v>15</v>
      </c>
      <c r="H203" t="s">
        <v>302</v>
      </c>
      <c r="I203" t="s">
        <v>303</v>
      </c>
      <c r="J203" t="s">
        <v>262</v>
      </c>
      <c r="K203" t="s">
        <v>304</v>
      </c>
      <c r="L203">
        <v>2025</v>
      </c>
      <c r="M203" t="s">
        <v>24</v>
      </c>
      <c r="N203">
        <v>1165.75</v>
      </c>
      <c r="O203">
        <v>17.399999999999999</v>
      </c>
      <c r="P203" s="3">
        <v>18.813504674502902</v>
      </c>
      <c r="Q203">
        <v>0.56548648383879252</v>
      </c>
      <c r="R203" s="5">
        <v>41.086839963392379</v>
      </c>
      <c r="S203">
        <v>27.44629353813643</v>
      </c>
      <c r="T203" s="3">
        <f t="shared" si="7"/>
        <v>27.44629353813643</v>
      </c>
      <c r="U203">
        <f t="shared" si="6"/>
        <v>8.6327888636335288</v>
      </c>
    </row>
    <row r="204" spans="1:21" hidden="1" x14ac:dyDescent="0.25">
      <c r="A204" t="s">
        <v>126</v>
      </c>
      <c r="B204">
        <v>6</v>
      </c>
      <c r="C204">
        <v>38</v>
      </c>
      <c r="D204">
        <v>1</v>
      </c>
      <c r="E204">
        <v>6</v>
      </c>
      <c r="F204">
        <v>6</v>
      </c>
      <c r="G204">
        <v>18</v>
      </c>
      <c r="H204" t="s">
        <v>340</v>
      </c>
      <c r="I204" t="s">
        <v>341</v>
      </c>
      <c r="J204" t="s">
        <v>262</v>
      </c>
      <c r="K204" t="s">
        <v>342</v>
      </c>
      <c r="L204">
        <v>2025</v>
      </c>
      <c r="M204" t="s">
        <v>24</v>
      </c>
      <c r="N204">
        <v>1161.22</v>
      </c>
      <c r="O204">
        <v>17.2</v>
      </c>
      <c r="P204" s="3">
        <v>18.785773345936001</v>
      </c>
      <c r="Q204">
        <v>1.344557960846668</v>
      </c>
      <c r="R204" s="5">
        <v>50.472687434757447</v>
      </c>
      <c r="S204">
        <v>22.30947689898478</v>
      </c>
      <c r="T204" s="3">
        <f t="shared" si="7"/>
        <v>22.30947689898478</v>
      </c>
      <c r="U204">
        <f t="shared" si="6"/>
        <v>3.5237035530487795</v>
      </c>
    </row>
    <row r="205" spans="1:21" hidden="1" x14ac:dyDescent="0.25">
      <c r="A205" t="s">
        <v>182</v>
      </c>
      <c r="B205">
        <v>8</v>
      </c>
      <c r="C205">
        <v>34</v>
      </c>
      <c r="D205">
        <v>2</v>
      </c>
      <c r="E205">
        <v>6</v>
      </c>
      <c r="F205">
        <v>14</v>
      </c>
      <c r="G205">
        <v>17</v>
      </c>
      <c r="H205" t="s">
        <v>273</v>
      </c>
      <c r="I205" t="s">
        <v>274</v>
      </c>
      <c r="J205" t="s">
        <v>262</v>
      </c>
      <c r="K205" t="s">
        <v>275</v>
      </c>
      <c r="L205">
        <v>2025</v>
      </c>
      <c r="M205" t="s">
        <v>24</v>
      </c>
      <c r="N205">
        <v>1206.58</v>
      </c>
      <c r="O205">
        <v>20.399999999999999</v>
      </c>
      <c r="P205" s="3">
        <v>18.765209796194402</v>
      </c>
      <c r="Q205">
        <v>1.7360344465337381</v>
      </c>
      <c r="R205" s="5">
        <v>46.686501179044498</v>
      </c>
      <c r="S205">
        <v>24.09233176138634</v>
      </c>
      <c r="T205" s="3">
        <f t="shared" ref="T205:T236" si="8">IF(N205&lt;= 0, -9, N205/ 453.6 / (R205/ 43560) * ((100 - O205) / (100 - 18)) / 100)</f>
        <v>24.09233176138634</v>
      </c>
      <c r="U205">
        <f t="shared" si="6"/>
        <v>5.3271219651919388</v>
      </c>
    </row>
    <row r="206" spans="1:21" hidden="1" x14ac:dyDescent="0.25">
      <c r="A206" t="s">
        <v>223</v>
      </c>
      <c r="B206">
        <v>3</v>
      </c>
      <c r="C206">
        <v>21</v>
      </c>
      <c r="D206">
        <v>3</v>
      </c>
      <c r="E206">
        <v>7</v>
      </c>
      <c r="F206">
        <v>23</v>
      </c>
      <c r="G206">
        <v>18</v>
      </c>
      <c r="H206" t="s">
        <v>279</v>
      </c>
      <c r="I206" t="s">
        <v>280</v>
      </c>
      <c r="J206" t="s">
        <v>262</v>
      </c>
      <c r="K206" t="s">
        <v>281</v>
      </c>
      <c r="L206">
        <v>2025</v>
      </c>
      <c r="M206" t="s">
        <v>24</v>
      </c>
      <c r="N206">
        <v>1143.07</v>
      </c>
      <c r="O206">
        <v>16.3</v>
      </c>
      <c r="P206" s="3">
        <v>18.693151208700002</v>
      </c>
      <c r="Q206">
        <v>0.78990583437999784</v>
      </c>
      <c r="R206" s="5">
        <v>43.502467410682854</v>
      </c>
      <c r="S206">
        <v>25.756412225351738</v>
      </c>
      <c r="T206" s="3">
        <f t="shared" si="8"/>
        <v>25.756412225351738</v>
      </c>
      <c r="U206">
        <f t="shared" ref="U206:U260" si="9">T206-P206</f>
        <v>7.0632610166517367</v>
      </c>
    </row>
    <row r="207" spans="1:21" hidden="1" x14ac:dyDescent="0.25">
      <c r="A207" t="s">
        <v>211</v>
      </c>
      <c r="B207">
        <v>20</v>
      </c>
      <c r="C207">
        <v>40</v>
      </c>
      <c r="D207">
        <v>3</v>
      </c>
      <c r="E207">
        <v>5</v>
      </c>
      <c r="F207">
        <v>21</v>
      </c>
      <c r="G207">
        <v>16</v>
      </c>
      <c r="H207" t="s">
        <v>319</v>
      </c>
      <c r="I207" t="s">
        <v>320</v>
      </c>
      <c r="J207" t="s">
        <v>262</v>
      </c>
      <c r="K207" t="s">
        <v>321</v>
      </c>
      <c r="L207">
        <v>2025</v>
      </c>
      <c r="M207" t="s">
        <v>24</v>
      </c>
      <c r="N207">
        <v>1152.1400000000001</v>
      </c>
      <c r="O207">
        <v>17</v>
      </c>
      <c r="P207" s="3">
        <v>18.683902026946299</v>
      </c>
      <c r="Q207">
        <v>3.7326237691266151</v>
      </c>
      <c r="R207" s="5">
        <f>3.33*18</f>
        <v>59.94</v>
      </c>
      <c r="S207">
        <v>18.683902026946292</v>
      </c>
      <c r="T207" s="3">
        <f t="shared" si="8"/>
        <v>18.683902026946292</v>
      </c>
      <c r="U207">
        <f t="shared" si="9"/>
        <v>0</v>
      </c>
    </row>
    <row r="208" spans="1:21" hidden="1" x14ac:dyDescent="0.25">
      <c r="A208" t="s">
        <v>165</v>
      </c>
      <c r="B208">
        <v>8</v>
      </c>
      <c r="C208">
        <v>11</v>
      </c>
      <c r="D208">
        <v>2</v>
      </c>
      <c r="E208">
        <v>3</v>
      </c>
      <c r="F208">
        <v>11</v>
      </c>
      <c r="G208">
        <v>16</v>
      </c>
      <c r="H208" t="s">
        <v>313</v>
      </c>
      <c r="I208" t="s">
        <v>314</v>
      </c>
      <c r="J208" t="s">
        <v>262</v>
      </c>
      <c r="K208" t="s">
        <v>315</v>
      </c>
      <c r="L208">
        <v>2025</v>
      </c>
      <c r="M208" t="s">
        <v>24</v>
      </c>
      <c r="N208">
        <v>1156.68</v>
      </c>
      <c r="O208">
        <v>17.5</v>
      </c>
      <c r="P208" s="3">
        <v>18.644528675016499</v>
      </c>
      <c r="Q208">
        <v>2.0282473683309199</v>
      </c>
      <c r="R208" s="5">
        <v>49.831851847977191</v>
      </c>
      <c r="S208">
        <v>22.426480400323552</v>
      </c>
      <c r="T208" s="3">
        <f t="shared" si="8"/>
        <v>22.426480400323552</v>
      </c>
      <c r="U208">
        <f t="shared" si="9"/>
        <v>3.7819517253070529</v>
      </c>
    </row>
    <row r="209" spans="1:21" hidden="1" x14ac:dyDescent="0.25">
      <c r="A209" t="s">
        <v>282</v>
      </c>
      <c r="B209">
        <v>16</v>
      </c>
      <c r="C209">
        <v>30</v>
      </c>
      <c r="D209">
        <v>1</v>
      </c>
      <c r="E209">
        <v>2</v>
      </c>
      <c r="F209">
        <v>2</v>
      </c>
      <c r="G209">
        <v>16</v>
      </c>
      <c r="H209" t="s">
        <v>283</v>
      </c>
      <c r="I209" t="s">
        <v>268</v>
      </c>
      <c r="J209" t="s">
        <v>262</v>
      </c>
      <c r="K209" t="s">
        <v>284</v>
      </c>
      <c r="L209">
        <v>2025</v>
      </c>
      <c r="M209" t="s">
        <v>24</v>
      </c>
      <c r="N209">
        <v>1143.07</v>
      </c>
      <c r="O209">
        <v>17.399999999999999</v>
      </c>
      <c r="P209" s="3">
        <v>18.447482554822201</v>
      </c>
      <c r="Q209">
        <v>2.4811669917053751</v>
      </c>
      <c r="R209" s="5">
        <v>58.707033382017485</v>
      </c>
      <c r="S209">
        <v>18.834917055692038</v>
      </c>
      <c r="T209" s="3">
        <f t="shared" si="8"/>
        <v>18.834917055692038</v>
      </c>
      <c r="U209">
        <f t="shared" si="9"/>
        <v>0.387434500869837</v>
      </c>
    </row>
    <row r="210" spans="1:21" hidden="1" x14ac:dyDescent="0.25">
      <c r="A210" t="s">
        <v>166</v>
      </c>
      <c r="B210">
        <v>6</v>
      </c>
      <c r="C210">
        <v>1</v>
      </c>
      <c r="D210">
        <v>2</v>
      </c>
      <c r="E210">
        <v>3</v>
      </c>
      <c r="F210">
        <v>11</v>
      </c>
      <c r="G210">
        <v>17</v>
      </c>
      <c r="H210" t="s">
        <v>260</v>
      </c>
      <c r="I210" t="s">
        <v>261</v>
      </c>
      <c r="J210" t="s">
        <v>262</v>
      </c>
      <c r="K210" t="s">
        <v>263</v>
      </c>
      <c r="L210">
        <v>2025</v>
      </c>
      <c r="M210" t="s">
        <v>24</v>
      </c>
      <c r="N210">
        <v>1115.8599999999999</v>
      </c>
      <c r="O210">
        <v>16.600000000000001</v>
      </c>
      <c r="P210" s="3">
        <v>18.182767882090399</v>
      </c>
      <c r="Q210">
        <v>1.404245092984427</v>
      </c>
      <c r="R210" s="5">
        <v>43.115153756375072</v>
      </c>
      <c r="S210">
        <v>25.278237740050887</v>
      </c>
      <c r="T210" s="3">
        <f t="shared" si="8"/>
        <v>25.278237740050887</v>
      </c>
      <c r="U210">
        <f t="shared" si="9"/>
        <v>7.095469857960488</v>
      </c>
    </row>
    <row r="211" spans="1:21" hidden="1" x14ac:dyDescent="0.25">
      <c r="A211" t="s">
        <v>378</v>
      </c>
      <c r="B211">
        <v>2</v>
      </c>
      <c r="C211">
        <v>10</v>
      </c>
      <c r="D211">
        <v>3</v>
      </c>
      <c r="E211">
        <v>8</v>
      </c>
      <c r="F211">
        <v>24</v>
      </c>
      <c r="G211">
        <v>16</v>
      </c>
      <c r="H211" t="s">
        <v>306</v>
      </c>
      <c r="I211" t="s">
        <v>307</v>
      </c>
      <c r="J211" t="s">
        <v>262</v>
      </c>
      <c r="K211" t="s">
        <v>308</v>
      </c>
      <c r="L211">
        <v>2025</v>
      </c>
      <c r="M211" t="s">
        <v>24</v>
      </c>
      <c r="N211">
        <v>1134</v>
      </c>
      <c r="O211">
        <v>18</v>
      </c>
      <c r="P211" s="3">
        <v>18.168168168168201</v>
      </c>
      <c r="Q211">
        <v>0.53660082971539791</v>
      </c>
      <c r="R211" s="5">
        <v>52.775917670973598</v>
      </c>
      <c r="S211">
        <v>20.634411452383759</v>
      </c>
      <c r="T211" s="3">
        <f t="shared" si="8"/>
        <v>20.634411452383759</v>
      </c>
      <c r="U211">
        <f t="shared" si="9"/>
        <v>2.4662432842155582</v>
      </c>
    </row>
    <row r="212" spans="1:21" hidden="1" x14ac:dyDescent="0.25">
      <c r="A212" t="s">
        <v>87</v>
      </c>
      <c r="B212">
        <v>14</v>
      </c>
      <c r="C212">
        <v>36</v>
      </c>
      <c r="D212">
        <v>1</v>
      </c>
      <c r="E212">
        <v>4</v>
      </c>
      <c r="F212">
        <v>4</v>
      </c>
      <c r="G212">
        <v>18</v>
      </c>
      <c r="H212" t="s">
        <v>316</v>
      </c>
      <c r="I212" t="s">
        <v>317</v>
      </c>
      <c r="J212" t="s">
        <v>262</v>
      </c>
      <c r="K212" t="s">
        <v>318</v>
      </c>
      <c r="L212">
        <v>2025</v>
      </c>
      <c r="M212" t="s">
        <v>24</v>
      </c>
      <c r="N212">
        <v>1115.8599999999999</v>
      </c>
      <c r="O212">
        <v>17.3</v>
      </c>
      <c r="P212" s="3">
        <v>18.0301547224086</v>
      </c>
      <c r="Q212">
        <v>2.6944552402497242</v>
      </c>
      <c r="R212" s="5">
        <v>49.002846760524001</v>
      </c>
      <c r="S212">
        <v>22.054381439157282</v>
      </c>
      <c r="T212" s="3">
        <f t="shared" si="8"/>
        <v>22.054381439157282</v>
      </c>
      <c r="U212">
        <f t="shared" si="9"/>
        <v>4.0242267167486823</v>
      </c>
    </row>
    <row r="213" spans="1:21" hidden="1" x14ac:dyDescent="0.25">
      <c r="A213" t="s">
        <v>153</v>
      </c>
      <c r="B213">
        <v>7</v>
      </c>
      <c r="C213">
        <v>5</v>
      </c>
      <c r="D213">
        <v>2</v>
      </c>
      <c r="E213">
        <v>1</v>
      </c>
      <c r="F213">
        <v>9</v>
      </c>
      <c r="G213">
        <v>14</v>
      </c>
      <c r="H213" t="s">
        <v>345</v>
      </c>
      <c r="I213" t="s">
        <v>271</v>
      </c>
      <c r="J213" t="s">
        <v>262</v>
      </c>
      <c r="K213" t="s">
        <v>346</v>
      </c>
      <c r="L213">
        <v>2025</v>
      </c>
      <c r="M213" t="s">
        <v>24</v>
      </c>
      <c r="N213">
        <v>1115.8599999999999</v>
      </c>
      <c r="O213">
        <v>17.8</v>
      </c>
      <c r="P213" s="3">
        <v>17.921145322635802</v>
      </c>
      <c r="Q213">
        <v>1.6826795647697399</v>
      </c>
      <c r="R213" s="5">
        <v>46.112194567225004</v>
      </c>
      <c r="S213">
        <v>23.295214220888379</v>
      </c>
      <c r="T213" s="3">
        <f t="shared" si="8"/>
        <v>23.295214220888379</v>
      </c>
      <c r="U213">
        <f t="shared" si="9"/>
        <v>5.3740688982525775</v>
      </c>
    </row>
    <row r="214" spans="1:21" hidden="1" x14ac:dyDescent="0.25">
      <c r="A214" t="s">
        <v>184</v>
      </c>
      <c r="B214">
        <v>14</v>
      </c>
      <c r="C214">
        <v>9</v>
      </c>
      <c r="D214">
        <v>2</v>
      </c>
      <c r="E214">
        <v>7</v>
      </c>
      <c r="F214">
        <v>15</v>
      </c>
      <c r="G214">
        <v>14</v>
      </c>
      <c r="H214" t="s">
        <v>311</v>
      </c>
      <c r="I214" t="s">
        <v>307</v>
      </c>
      <c r="J214" t="s">
        <v>262</v>
      </c>
      <c r="K214" t="s">
        <v>312</v>
      </c>
      <c r="L214">
        <v>2025</v>
      </c>
      <c r="M214" t="s">
        <v>24</v>
      </c>
      <c r="N214">
        <v>1124.93</v>
      </c>
      <c r="O214">
        <v>18.600000000000001</v>
      </c>
      <c r="P214" s="3">
        <v>17.890980317651501</v>
      </c>
      <c r="Q214">
        <v>2.6821054131507669</v>
      </c>
      <c r="R214" s="5">
        <f>3.33*18</f>
        <v>59.94</v>
      </c>
      <c r="S214">
        <v>17.890980317651501</v>
      </c>
      <c r="T214" s="3">
        <f t="shared" si="8"/>
        <v>17.890980317651501</v>
      </c>
      <c r="U214">
        <f t="shared" si="9"/>
        <v>0</v>
      </c>
    </row>
    <row r="215" spans="1:21" hidden="1" x14ac:dyDescent="0.25">
      <c r="A215" t="s">
        <v>200</v>
      </c>
      <c r="B215">
        <v>13</v>
      </c>
      <c r="C215">
        <v>18</v>
      </c>
      <c r="D215">
        <v>3</v>
      </c>
      <c r="E215">
        <v>3</v>
      </c>
      <c r="F215">
        <v>19</v>
      </c>
      <c r="G215">
        <v>15</v>
      </c>
      <c r="H215" t="s">
        <v>343</v>
      </c>
      <c r="I215" t="s">
        <v>289</v>
      </c>
      <c r="J215" t="s">
        <v>262</v>
      </c>
      <c r="K215" t="s">
        <v>344</v>
      </c>
      <c r="L215">
        <v>2025</v>
      </c>
      <c r="M215" t="s">
        <v>24</v>
      </c>
      <c r="N215">
        <v>1111.32</v>
      </c>
      <c r="O215">
        <v>18</v>
      </c>
      <c r="P215" s="3">
        <v>17.8048048048048</v>
      </c>
      <c r="Q215">
        <v>2.1317836298032709</v>
      </c>
      <c r="R215" s="5">
        <v>50.946305812839398</v>
      </c>
      <c r="S215">
        <v>20.947936910688444</v>
      </c>
      <c r="T215" s="3">
        <f t="shared" si="8"/>
        <v>20.947936910688444</v>
      </c>
      <c r="U215">
        <f t="shared" si="9"/>
        <v>3.1431321058836446</v>
      </c>
    </row>
    <row r="216" spans="1:21" hidden="1" x14ac:dyDescent="0.25">
      <c r="A216" t="s">
        <v>155</v>
      </c>
      <c r="B216">
        <v>11</v>
      </c>
      <c r="C216">
        <v>38</v>
      </c>
      <c r="D216">
        <v>2</v>
      </c>
      <c r="E216">
        <v>1</v>
      </c>
      <c r="F216">
        <v>9</v>
      </c>
      <c r="G216">
        <v>16</v>
      </c>
      <c r="H216" t="s">
        <v>340</v>
      </c>
      <c r="I216" t="s">
        <v>341</v>
      </c>
      <c r="J216" t="s">
        <v>262</v>
      </c>
      <c r="K216" t="s">
        <v>342</v>
      </c>
      <c r="L216">
        <v>2025</v>
      </c>
      <c r="M216" t="s">
        <v>24</v>
      </c>
      <c r="N216">
        <v>1102.25</v>
      </c>
      <c r="O216">
        <v>17.399999999999999</v>
      </c>
      <c r="P216" s="3">
        <v>17.788707293562801</v>
      </c>
      <c r="Q216">
        <v>2.2381807647391789</v>
      </c>
      <c r="R216" s="5">
        <v>52.091553933576051</v>
      </c>
      <c r="S216">
        <v>20.468867496941531</v>
      </c>
      <c r="T216" s="3">
        <f t="shared" si="8"/>
        <v>20.468867496941531</v>
      </c>
      <c r="U216">
        <f t="shared" si="9"/>
        <v>2.6801602033787297</v>
      </c>
    </row>
    <row r="217" spans="1:21" hidden="1" x14ac:dyDescent="0.25">
      <c r="A217" t="s">
        <v>305</v>
      </c>
      <c r="B217">
        <v>10</v>
      </c>
      <c r="C217">
        <v>10</v>
      </c>
      <c r="D217">
        <v>1</v>
      </c>
      <c r="E217">
        <v>4</v>
      </c>
      <c r="F217">
        <v>4</v>
      </c>
      <c r="G217">
        <v>14</v>
      </c>
      <c r="H217" t="s">
        <v>306</v>
      </c>
      <c r="I217" t="s">
        <v>307</v>
      </c>
      <c r="J217" t="s">
        <v>262</v>
      </c>
      <c r="K217" t="s">
        <v>308</v>
      </c>
      <c r="L217">
        <v>2025</v>
      </c>
      <c r="M217" t="s">
        <v>24</v>
      </c>
      <c r="N217">
        <v>1111.32</v>
      </c>
      <c r="O217">
        <v>18.3</v>
      </c>
      <c r="P217" s="3">
        <v>17.739665275031101</v>
      </c>
      <c r="Q217">
        <v>2.0442464811090688</v>
      </c>
      <c r="R217" s="5">
        <v>52.004064698009898</v>
      </c>
      <c r="S217">
        <v>20.446777434804186</v>
      </c>
      <c r="T217" s="3">
        <f t="shared" si="8"/>
        <v>20.446777434804186</v>
      </c>
      <c r="U217">
        <f t="shared" si="9"/>
        <v>2.7071121597730858</v>
      </c>
    </row>
    <row r="218" spans="1:21" hidden="1" x14ac:dyDescent="0.25">
      <c r="A218" t="s">
        <v>185</v>
      </c>
      <c r="B218">
        <v>2</v>
      </c>
      <c r="C218">
        <v>16</v>
      </c>
      <c r="D218">
        <v>2</v>
      </c>
      <c r="E218">
        <v>7</v>
      </c>
      <c r="F218">
        <v>15</v>
      </c>
      <c r="G218">
        <v>15</v>
      </c>
      <c r="H218" t="s">
        <v>350</v>
      </c>
      <c r="I218" t="s">
        <v>289</v>
      </c>
      <c r="J218" t="s">
        <v>262</v>
      </c>
      <c r="K218" t="s">
        <v>351</v>
      </c>
      <c r="L218">
        <v>2025</v>
      </c>
      <c r="M218" t="s">
        <v>24</v>
      </c>
      <c r="N218">
        <v>1093.18</v>
      </c>
      <c r="O218">
        <v>17.7</v>
      </c>
      <c r="P218" s="3">
        <v>17.578254461068401</v>
      </c>
      <c r="Q218">
        <v>0.51956268861503552</v>
      </c>
      <c r="R218" s="5">
        <v>53.592520823983399</v>
      </c>
      <c r="S218">
        <v>19.660216690626715</v>
      </c>
      <c r="T218" s="3">
        <f t="shared" si="8"/>
        <v>19.660216690626715</v>
      </c>
      <c r="U218">
        <f t="shared" si="9"/>
        <v>2.0819622295583144</v>
      </c>
    </row>
    <row r="219" spans="1:21" hidden="1" x14ac:dyDescent="0.25">
      <c r="A219" t="s">
        <v>72</v>
      </c>
      <c r="B219">
        <v>4</v>
      </c>
      <c r="C219">
        <v>23</v>
      </c>
      <c r="D219">
        <v>1</v>
      </c>
      <c r="E219">
        <v>3</v>
      </c>
      <c r="F219">
        <v>3</v>
      </c>
      <c r="G219">
        <v>18</v>
      </c>
      <c r="H219" t="s">
        <v>302</v>
      </c>
      <c r="I219" t="s">
        <v>303</v>
      </c>
      <c r="J219" t="s">
        <v>262</v>
      </c>
      <c r="K219" t="s">
        <v>304</v>
      </c>
      <c r="L219">
        <v>2025</v>
      </c>
      <c r="M219" t="s">
        <v>24</v>
      </c>
      <c r="N219">
        <v>1084.0999999999999</v>
      </c>
      <c r="O219">
        <v>17.3</v>
      </c>
      <c r="P219" s="3">
        <v>17.516974113744698</v>
      </c>
      <c r="Q219">
        <v>0.70196707468111619</v>
      </c>
      <c r="R219" s="5">
        <v>40.555903395160065</v>
      </c>
      <c r="S219">
        <v>25.889385773198143</v>
      </c>
      <c r="T219" s="3">
        <f t="shared" si="8"/>
        <v>25.889385773198143</v>
      </c>
      <c r="U219">
        <f t="shared" si="9"/>
        <v>8.3724116594534443</v>
      </c>
    </row>
    <row r="220" spans="1:21" hidden="1" x14ac:dyDescent="0.25">
      <c r="A220" t="s">
        <v>176</v>
      </c>
      <c r="B220">
        <v>20</v>
      </c>
      <c r="C220">
        <v>30</v>
      </c>
      <c r="D220">
        <v>2</v>
      </c>
      <c r="E220">
        <v>5</v>
      </c>
      <c r="F220">
        <v>13</v>
      </c>
      <c r="G220">
        <v>15</v>
      </c>
      <c r="H220" t="s">
        <v>283</v>
      </c>
      <c r="I220" t="s">
        <v>268</v>
      </c>
      <c r="J220" t="s">
        <v>262</v>
      </c>
      <c r="K220" t="s">
        <v>284</v>
      </c>
      <c r="L220">
        <v>2025</v>
      </c>
      <c r="M220" t="s">
        <v>24</v>
      </c>
      <c r="N220">
        <v>1093.18</v>
      </c>
      <c r="O220">
        <v>18</v>
      </c>
      <c r="P220" s="3">
        <v>17.5141781993634</v>
      </c>
      <c r="Q220">
        <v>2.667036655362566</v>
      </c>
      <c r="R220" s="5">
        <v>56.707715854657131</v>
      </c>
      <c r="S220">
        <v>18.512469166638571</v>
      </c>
      <c r="T220" s="3">
        <f t="shared" si="8"/>
        <v>18.512469166638571</v>
      </c>
      <c r="U220">
        <f t="shared" si="9"/>
        <v>0.99829096727517097</v>
      </c>
    </row>
    <row r="221" spans="1:21" hidden="1" x14ac:dyDescent="0.25">
      <c r="A221" t="s">
        <v>122</v>
      </c>
      <c r="B221">
        <v>6</v>
      </c>
      <c r="C221">
        <v>3</v>
      </c>
      <c r="D221">
        <v>1</v>
      </c>
      <c r="E221">
        <v>6</v>
      </c>
      <c r="F221">
        <v>6</v>
      </c>
      <c r="G221">
        <v>17</v>
      </c>
      <c r="H221" t="s">
        <v>338</v>
      </c>
      <c r="I221" t="s">
        <v>271</v>
      </c>
      <c r="J221" t="s">
        <v>262</v>
      </c>
      <c r="K221" t="s">
        <v>339</v>
      </c>
      <c r="L221">
        <v>2025</v>
      </c>
      <c r="M221" t="s">
        <v>24</v>
      </c>
      <c r="N221">
        <v>1075.03</v>
      </c>
      <c r="O221">
        <v>17</v>
      </c>
      <c r="P221" s="3">
        <v>17.4334327391012</v>
      </c>
      <c r="Q221">
        <v>1.475057680864676</v>
      </c>
      <c r="R221" s="5">
        <v>43.877373371059292</v>
      </c>
      <c r="S221">
        <v>23.815462916268434</v>
      </c>
      <c r="T221" s="3">
        <f t="shared" si="8"/>
        <v>23.815462916268434</v>
      </c>
      <c r="U221">
        <f t="shared" si="9"/>
        <v>6.3820301771672341</v>
      </c>
    </row>
    <row r="222" spans="1:21" hidden="1" x14ac:dyDescent="0.25">
      <c r="A222" t="s">
        <v>189</v>
      </c>
      <c r="B222">
        <v>19</v>
      </c>
      <c r="C222">
        <v>25</v>
      </c>
      <c r="D222">
        <v>2</v>
      </c>
      <c r="E222">
        <v>8</v>
      </c>
      <c r="F222">
        <v>16</v>
      </c>
      <c r="G222">
        <v>14</v>
      </c>
      <c r="H222" t="s">
        <v>358</v>
      </c>
      <c r="I222" t="s">
        <v>359</v>
      </c>
      <c r="J222" t="s">
        <v>262</v>
      </c>
      <c r="K222" t="s">
        <v>360</v>
      </c>
      <c r="L222">
        <v>2025</v>
      </c>
      <c r="M222" t="s">
        <v>24</v>
      </c>
      <c r="N222">
        <v>1075.03</v>
      </c>
      <c r="O222">
        <v>17.600000000000001</v>
      </c>
      <c r="P222" s="3">
        <v>17.307407924119801</v>
      </c>
      <c r="Q222">
        <v>3.3715458945015389</v>
      </c>
      <c r="R222" s="5">
        <v>51.29098285382512</v>
      </c>
      <c r="S222">
        <v>20.225894947816769</v>
      </c>
      <c r="T222" s="3">
        <f t="shared" si="8"/>
        <v>20.225894947816769</v>
      </c>
      <c r="U222">
        <f t="shared" si="9"/>
        <v>2.9184870236969687</v>
      </c>
    </row>
    <row r="223" spans="1:21" hidden="1" x14ac:dyDescent="0.25">
      <c r="A223" t="s">
        <v>372</v>
      </c>
      <c r="B223">
        <v>26</v>
      </c>
      <c r="C223">
        <v>20</v>
      </c>
      <c r="D223">
        <v>2</v>
      </c>
      <c r="E223">
        <v>8</v>
      </c>
      <c r="F223">
        <v>16</v>
      </c>
      <c r="G223">
        <v>15</v>
      </c>
      <c r="H223" t="s">
        <v>328</v>
      </c>
      <c r="I223" t="s">
        <v>280</v>
      </c>
      <c r="J223" t="s">
        <v>262</v>
      </c>
      <c r="K223" t="s">
        <v>329</v>
      </c>
      <c r="L223">
        <v>2025</v>
      </c>
      <c r="M223" t="s">
        <v>24</v>
      </c>
      <c r="N223">
        <v>1065.96</v>
      </c>
      <c r="O223">
        <v>18.3</v>
      </c>
      <c r="P223" s="3">
        <v>17.0155973046217</v>
      </c>
      <c r="Q223">
        <v>3.7832177503758362</v>
      </c>
      <c r="R223" s="5">
        <f>3.33*18</f>
        <v>59.94</v>
      </c>
      <c r="S223">
        <v>17.015597304621693</v>
      </c>
      <c r="T223" s="3">
        <f t="shared" si="8"/>
        <v>17.015597304621693</v>
      </c>
      <c r="U223">
        <f t="shared" si="9"/>
        <v>0</v>
      </c>
    </row>
    <row r="224" spans="1:21" hidden="1" x14ac:dyDescent="0.25">
      <c r="A224" t="s">
        <v>187</v>
      </c>
      <c r="B224">
        <v>29</v>
      </c>
      <c r="C224">
        <v>39</v>
      </c>
      <c r="D224">
        <v>2</v>
      </c>
      <c r="E224">
        <v>7</v>
      </c>
      <c r="F224">
        <v>15</v>
      </c>
      <c r="G224">
        <v>17</v>
      </c>
      <c r="H224" t="s">
        <v>276</v>
      </c>
      <c r="I224" t="s">
        <v>277</v>
      </c>
      <c r="J224" t="s">
        <v>262</v>
      </c>
      <c r="K224" t="s">
        <v>278</v>
      </c>
      <c r="L224">
        <v>2025</v>
      </c>
      <c r="M224" t="s">
        <v>24</v>
      </c>
      <c r="N224">
        <v>1043.28</v>
      </c>
      <c r="O224">
        <v>16.899999999999999</v>
      </c>
      <c r="P224" s="3">
        <v>16.938936497473101</v>
      </c>
      <c r="Q224">
        <v>4.5836974928522407</v>
      </c>
      <c r="R224" s="5">
        <v>54.338461443312227</v>
      </c>
      <c r="S224">
        <v>18.685104927340529</v>
      </c>
      <c r="T224" s="3">
        <f t="shared" si="8"/>
        <v>18.685104927340529</v>
      </c>
      <c r="U224">
        <f t="shared" si="9"/>
        <v>1.7461684298674278</v>
      </c>
    </row>
    <row r="225" spans="1:21" hidden="1" x14ac:dyDescent="0.25">
      <c r="A225" t="s">
        <v>220</v>
      </c>
      <c r="B225">
        <v>3</v>
      </c>
      <c r="C225">
        <v>24</v>
      </c>
      <c r="D225">
        <v>3</v>
      </c>
      <c r="E225">
        <v>7</v>
      </c>
      <c r="F225">
        <v>23</v>
      </c>
      <c r="G225">
        <v>15</v>
      </c>
      <c r="H225" t="s">
        <v>369</v>
      </c>
      <c r="I225" t="s">
        <v>303</v>
      </c>
      <c r="J225" t="s">
        <v>262</v>
      </c>
      <c r="K225" t="s">
        <v>370</v>
      </c>
      <c r="L225">
        <v>2025</v>
      </c>
      <c r="M225" t="s">
        <v>24</v>
      </c>
      <c r="N225">
        <v>1047.82</v>
      </c>
      <c r="O225">
        <v>18.2</v>
      </c>
      <c r="P225" s="3">
        <v>16.746506469044899</v>
      </c>
      <c r="Q225">
        <v>0.71963126635110264</v>
      </c>
      <c r="R225" s="5">
        <v>42.746038987876602</v>
      </c>
      <c r="S225">
        <v>23.482540640531326</v>
      </c>
      <c r="T225" s="3">
        <f t="shared" si="8"/>
        <v>23.482540640531326</v>
      </c>
      <c r="U225">
        <f t="shared" si="9"/>
        <v>6.7360341714864269</v>
      </c>
    </row>
    <row r="226" spans="1:21" hidden="1" x14ac:dyDescent="0.25">
      <c r="A226" t="s">
        <v>206</v>
      </c>
      <c r="B226">
        <v>14</v>
      </c>
      <c r="C226">
        <v>1</v>
      </c>
      <c r="D226">
        <v>3</v>
      </c>
      <c r="E226">
        <v>4</v>
      </c>
      <c r="F226">
        <v>20</v>
      </c>
      <c r="G226">
        <v>16</v>
      </c>
      <c r="H226" t="s">
        <v>260</v>
      </c>
      <c r="I226" t="s">
        <v>261</v>
      </c>
      <c r="J226" t="s">
        <v>262</v>
      </c>
      <c r="K226" t="s">
        <v>263</v>
      </c>
      <c r="L226">
        <v>2025</v>
      </c>
      <c r="M226" t="s">
        <v>24</v>
      </c>
      <c r="N226">
        <v>1025.1400000000001</v>
      </c>
      <c r="O226">
        <v>17.100000000000001</v>
      </c>
      <c r="P226" s="3">
        <v>16.604352490960402</v>
      </c>
      <c r="Q226">
        <v>2.8396342817052251</v>
      </c>
      <c r="R226" s="5">
        <v>55.565539444846898</v>
      </c>
      <c r="S226">
        <v>17.911549104927641</v>
      </c>
      <c r="T226" s="3">
        <f t="shared" si="8"/>
        <v>17.911549104927641</v>
      </c>
      <c r="U226">
        <f t="shared" si="9"/>
        <v>1.3071966139672391</v>
      </c>
    </row>
    <row r="227" spans="1:21" hidden="1" x14ac:dyDescent="0.25">
      <c r="A227" t="s">
        <v>379</v>
      </c>
      <c r="B227">
        <v>2</v>
      </c>
      <c r="C227">
        <v>12</v>
      </c>
      <c r="D227">
        <v>3</v>
      </c>
      <c r="E227">
        <v>8</v>
      </c>
      <c r="F227">
        <v>24</v>
      </c>
      <c r="G227">
        <v>17</v>
      </c>
      <c r="H227" t="s">
        <v>333</v>
      </c>
      <c r="I227" t="s">
        <v>314</v>
      </c>
      <c r="J227" t="s">
        <v>262</v>
      </c>
      <c r="K227" t="s">
        <v>334</v>
      </c>
      <c r="L227">
        <v>2025</v>
      </c>
      <c r="M227" t="s">
        <v>24</v>
      </c>
      <c r="N227">
        <v>1061.42</v>
      </c>
      <c r="O227">
        <v>20.399999999999999</v>
      </c>
      <c r="P227" s="3">
        <v>16.507624013224699</v>
      </c>
      <c r="Q227">
        <v>0.39686799842796661</v>
      </c>
      <c r="R227" s="5">
        <v>39.271847448278798</v>
      </c>
      <c r="S227">
        <v>25.195325599485056</v>
      </c>
      <c r="T227" s="3">
        <f t="shared" si="8"/>
        <v>25.195325599485056</v>
      </c>
      <c r="U227">
        <f t="shared" si="9"/>
        <v>8.6877015862603564</v>
      </c>
    </row>
    <row r="228" spans="1:21" hidden="1" x14ac:dyDescent="0.25">
      <c r="A228" t="s">
        <v>222</v>
      </c>
      <c r="B228">
        <v>2</v>
      </c>
      <c r="C228">
        <v>8</v>
      </c>
      <c r="D228">
        <v>3</v>
      </c>
      <c r="E228">
        <v>7</v>
      </c>
      <c r="F228">
        <v>23</v>
      </c>
      <c r="G228">
        <v>17</v>
      </c>
      <c r="H228" t="s">
        <v>293</v>
      </c>
      <c r="I228" t="s">
        <v>294</v>
      </c>
      <c r="J228" t="s">
        <v>262</v>
      </c>
      <c r="K228" t="s">
        <v>295</v>
      </c>
      <c r="L228">
        <v>2025</v>
      </c>
      <c r="M228" t="s">
        <v>24</v>
      </c>
      <c r="N228">
        <v>997.92</v>
      </c>
      <c r="O228">
        <v>15.8</v>
      </c>
      <c r="P228" s="3">
        <v>16.4169340071779</v>
      </c>
      <c r="Q228">
        <v>0.47307849661073392</v>
      </c>
      <c r="R228" s="5">
        <v>50.092169629668298</v>
      </c>
      <c r="S228">
        <v>19.644408131354481</v>
      </c>
      <c r="T228" s="3">
        <f t="shared" si="8"/>
        <v>19.644408131354481</v>
      </c>
      <c r="U228">
        <f t="shared" si="9"/>
        <v>3.227474124176581</v>
      </c>
    </row>
    <row r="229" spans="1:21" hidden="1" x14ac:dyDescent="0.25">
      <c r="A229" t="s">
        <v>219</v>
      </c>
      <c r="B229">
        <v>0</v>
      </c>
      <c r="C229">
        <v>16</v>
      </c>
      <c r="D229">
        <v>3</v>
      </c>
      <c r="E229">
        <v>7</v>
      </c>
      <c r="F229">
        <v>23</v>
      </c>
      <c r="G229">
        <v>14</v>
      </c>
      <c r="H229" t="s">
        <v>350</v>
      </c>
      <c r="I229" t="s">
        <v>289</v>
      </c>
      <c r="J229" t="s">
        <v>262</v>
      </c>
      <c r="K229" t="s">
        <v>351</v>
      </c>
      <c r="L229">
        <v>2025</v>
      </c>
      <c r="M229" t="s">
        <v>24</v>
      </c>
      <c r="N229">
        <v>1006.99</v>
      </c>
      <c r="O229">
        <v>17</v>
      </c>
      <c r="P229" s="3">
        <v>16.330048867424701</v>
      </c>
      <c r="R229" s="5">
        <v>39.520000000000003</v>
      </c>
      <c r="S229">
        <v>24.767791728578789</v>
      </c>
      <c r="T229" s="3">
        <f t="shared" si="8"/>
        <v>24.767791728578789</v>
      </c>
      <c r="U229">
        <f t="shared" si="9"/>
        <v>8.4377428611540886</v>
      </c>
    </row>
    <row r="230" spans="1:21" hidden="1" x14ac:dyDescent="0.25">
      <c r="A230" t="s">
        <v>193</v>
      </c>
      <c r="B230">
        <v>22</v>
      </c>
      <c r="C230">
        <v>28</v>
      </c>
      <c r="D230">
        <v>3</v>
      </c>
      <c r="E230">
        <v>1</v>
      </c>
      <c r="F230">
        <v>17</v>
      </c>
      <c r="G230">
        <v>17</v>
      </c>
      <c r="H230" t="s">
        <v>352</v>
      </c>
      <c r="I230" t="s">
        <v>353</v>
      </c>
      <c r="J230" t="s">
        <v>262</v>
      </c>
      <c r="K230" t="s">
        <v>354</v>
      </c>
      <c r="L230">
        <v>2025</v>
      </c>
      <c r="M230" t="s">
        <v>24</v>
      </c>
      <c r="N230">
        <v>1006.99</v>
      </c>
      <c r="O230">
        <v>18.3</v>
      </c>
      <c r="P230" s="3">
        <v>16.074277017693898</v>
      </c>
      <c r="Q230">
        <v>3.4690144189037611</v>
      </c>
      <c r="R230" s="5">
        <v>52.340124303638177</v>
      </c>
      <c r="S230">
        <v>18.408289572472423</v>
      </c>
      <c r="T230" s="3">
        <f t="shared" si="8"/>
        <v>18.408289572472423</v>
      </c>
      <c r="U230">
        <f t="shared" si="9"/>
        <v>2.3340125547785249</v>
      </c>
    </row>
    <row r="231" spans="1:21" hidden="1" x14ac:dyDescent="0.25">
      <c r="A231" t="s">
        <v>202</v>
      </c>
      <c r="B231">
        <v>25</v>
      </c>
      <c r="C231">
        <v>11</v>
      </c>
      <c r="D231">
        <v>3</v>
      </c>
      <c r="E231">
        <v>3</v>
      </c>
      <c r="F231">
        <v>19</v>
      </c>
      <c r="G231">
        <v>17</v>
      </c>
      <c r="H231" t="s">
        <v>313</v>
      </c>
      <c r="I231" t="s">
        <v>314</v>
      </c>
      <c r="J231" t="s">
        <v>262</v>
      </c>
      <c r="K231" t="s">
        <v>315</v>
      </c>
      <c r="L231">
        <v>2025</v>
      </c>
      <c r="M231" t="s">
        <v>24</v>
      </c>
      <c r="N231">
        <v>980.4</v>
      </c>
      <c r="O231">
        <v>16.100000000000001</v>
      </c>
      <c r="P231" s="3">
        <v>16.071244105119401</v>
      </c>
      <c r="Q231">
        <v>3.0764015763043608</v>
      </c>
      <c r="R231" s="5">
        <v>58.114078927182497</v>
      </c>
      <c r="S231">
        <v>16.576196154943737</v>
      </c>
      <c r="T231" s="3">
        <f t="shared" si="8"/>
        <v>16.576196154943737</v>
      </c>
      <c r="U231">
        <f t="shared" si="9"/>
        <v>0.50495204982433606</v>
      </c>
    </row>
    <row r="232" spans="1:21" hidden="1" x14ac:dyDescent="0.25">
      <c r="A232" t="s">
        <v>203</v>
      </c>
      <c r="B232">
        <v>13</v>
      </c>
      <c r="C232">
        <v>20</v>
      </c>
      <c r="D232">
        <v>3</v>
      </c>
      <c r="E232">
        <v>3</v>
      </c>
      <c r="F232">
        <v>19</v>
      </c>
      <c r="G232">
        <v>18</v>
      </c>
      <c r="H232" t="s">
        <v>328</v>
      </c>
      <c r="I232" t="s">
        <v>280</v>
      </c>
      <c r="J232" t="s">
        <v>262</v>
      </c>
      <c r="K232" t="s">
        <v>329</v>
      </c>
      <c r="L232">
        <v>2025</v>
      </c>
      <c r="M232" t="s">
        <v>24</v>
      </c>
      <c r="N232">
        <v>993.38</v>
      </c>
      <c r="O232">
        <v>17.2</v>
      </c>
      <c r="P232" s="3">
        <v>16.070521973773999</v>
      </c>
      <c r="Q232">
        <v>2.4816074123354239</v>
      </c>
      <c r="R232" s="5">
        <v>51.711774025637297</v>
      </c>
      <c r="S232">
        <v>18.62761634575623</v>
      </c>
      <c r="T232" s="3">
        <f t="shared" si="8"/>
        <v>18.62761634575623</v>
      </c>
      <c r="U232">
        <f t="shared" si="9"/>
        <v>2.557094371982231</v>
      </c>
    </row>
    <row r="233" spans="1:21" hidden="1" x14ac:dyDescent="0.25">
      <c r="A233" t="s">
        <v>33</v>
      </c>
      <c r="B233">
        <v>9</v>
      </c>
      <c r="C233">
        <v>6</v>
      </c>
      <c r="D233">
        <v>1</v>
      </c>
      <c r="E233">
        <v>1</v>
      </c>
      <c r="F233">
        <v>1</v>
      </c>
      <c r="G233">
        <v>17</v>
      </c>
      <c r="H233" t="s">
        <v>270</v>
      </c>
      <c r="I233" t="s">
        <v>271</v>
      </c>
      <c r="J233" t="s">
        <v>262</v>
      </c>
      <c r="K233" t="s">
        <v>272</v>
      </c>
      <c r="L233">
        <v>2025</v>
      </c>
      <c r="M233" t="s">
        <v>24</v>
      </c>
      <c r="N233">
        <v>984.31</v>
      </c>
      <c r="O233">
        <v>17</v>
      </c>
      <c r="P233" s="3">
        <v>15.962254243532501</v>
      </c>
      <c r="Q233">
        <v>2.027420556308579</v>
      </c>
      <c r="R233" s="5">
        <v>46.822952126049913</v>
      </c>
      <c r="S233">
        <v>20.433942669433563</v>
      </c>
      <c r="T233" s="3">
        <f t="shared" si="8"/>
        <v>20.433942669433563</v>
      </c>
      <c r="U233">
        <f t="shared" si="9"/>
        <v>4.4716884259010623</v>
      </c>
    </row>
    <row r="234" spans="1:21" hidden="1" x14ac:dyDescent="0.25">
      <c r="A234" t="s">
        <v>191</v>
      </c>
      <c r="B234">
        <v>39</v>
      </c>
      <c r="C234">
        <v>36</v>
      </c>
      <c r="D234">
        <v>3</v>
      </c>
      <c r="E234">
        <v>1</v>
      </c>
      <c r="F234">
        <v>17</v>
      </c>
      <c r="G234">
        <v>15</v>
      </c>
      <c r="H234" t="s">
        <v>316</v>
      </c>
      <c r="I234" t="s">
        <v>317</v>
      </c>
      <c r="J234" t="s">
        <v>262</v>
      </c>
      <c r="K234" t="s">
        <v>318</v>
      </c>
      <c r="L234">
        <v>2025</v>
      </c>
      <c r="M234" t="s">
        <v>24</v>
      </c>
      <c r="N234">
        <v>993.38</v>
      </c>
      <c r="O234">
        <v>18.5</v>
      </c>
      <c r="P234" s="3">
        <v>15.8182070152486</v>
      </c>
      <c r="Q234">
        <v>4.9745705810216361</v>
      </c>
      <c r="R234" s="5">
        <v>58.545780277058789</v>
      </c>
      <c r="S234">
        <v>16.19490463714137</v>
      </c>
      <c r="T234" s="3">
        <f t="shared" si="8"/>
        <v>16.19490463714137</v>
      </c>
      <c r="U234">
        <f t="shared" si="9"/>
        <v>0.37669762189277023</v>
      </c>
    </row>
    <row r="235" spans="1:21" hidden="1" x14ac:dyDescent="0.25">
      <c r="A235" t="s">
        <v>170</v>
      </c>
      <c r="B235">
        <v>3</v>
      </c>
      <c r="C235">
        <v>26</v>
      </c>
      <c r="D235">
        <v>2</v>
      </c>
      <c r="E235">
        <v>4</v>
      </c>
      <c r="F235">
        <v>12</v>
      </c>
      <c r="G235">
        <v>14</v>
      </c>
      <c r="H235" t="s">
        <v>366</v>
      </c>
      <c r="I235" t="s">
        <v>363</v>
      </c>
      <c r="J235" t="s">
        <v>262</v>
      </c>
      <c r="K235" t="s">
        <v>367</v>
      </c>
      <c r="L235">
        <v>2025</v>
      </c>
      <c r="M235" t="s">
        <v>24</v>
      </c>
      <c r="N235">
        <v>961.63</v>
      </c>
      <c r="O235">
        <v>18.399999999999999</v>
      </c>
      <c r="P235" s="3">
        <v>15.3314205417186</v>
      </c>
      <c r="Q235">
        <v>0.710993307630017</v>
      </c>
      <c r="R235" s="5">
        <v>25.6530608639987</v>
      </c>
      <c r="S235">
        <v>35.822834247443893</v>
      </c>
      <c r="T235" s="3">
        <f t="shared" si="8"/>
        <v>35.822834247443893</v>
      </c>
      <c r="U235">
        <f t="shared" si="9"/>
        <v>20.491413705725293</v>
      </c>
    </row>
    <row r="236" spans="1:21" hidden="1" x14ac:dyDescent="0.25">
      <c r="A236" t="s">
        <v>134</v>
      </c>
      <c r="B236">
        <v>19</v>
      </c>
      <c r="C236">
        <v>5</v>
      </c>
      <c r="D236">
        <v>1</v>
      </c>
      <c r="E236">
        <v>7</v>
      </c>
      <c r="F236">
        <v>7</v>
      </c>
      <c r="G236">
        <v>15</v>
      </c>
      <c r="H236" t="s">
        <v>345</v>
      </c>
      <c r="I236" t="s">
        <v>271</v>
      </c>
      <c r="J236" t="s">
        <v>262</v>
      </c>
      <c r="K236" t="s">
        <v>346</v>
      </c>
      <c r="L236">
        <v>2025</v>
      </c>
      <c r="M236" t="s">
        <v>24</v>
      </c>
      <c r="N236">
        <v>943.49</v>
      </c>
      <c r="O236">
        <v>17</v>
      </c>
      <c r="P236" s="3">
        <v>15.300288787303201</v>
      </c>
      <c r="Q236">
        <v>2.9791105771910531</v>
      </c>
      <c r="R236" s="5">
        <v>50.06684834182677</v>
      </c>
      <c r="S236">
        <v>18.317496313120124</v>
      </c>
      <c r="T236" s="3">
        <f t="shared" si="8"/>
        <v>18.317496313120124</v>
      </c>
      <c r="U236">
        <f t="shared" si="9"/>
        <v>3.0172075258169233</v>
      </c>
    </row>
    <row r="237" spans="1:21" hidden="1" x14ac:dyDescent="0.25">
      <c r="A237" t="s">
        <v>213</v>
      </c>
      <c r="B237">
        <v>2</v>
      </c>
      <c r="C237">
        <v>27</v>
      </c>
      <c r="D237">
        <v>3</v>
      </c>
      <c r="E237">
        <v>5</v>
      </c>
      <c r="F237">
        <v>21</v>
      </c>
      <c r="G237">
        <v>18</v>
      </c>
      <c r="H237" t="s">
        <v>362</v>
      </c>
      <c r="I237" t="s">
        <v>363</v>
      </c>
      <c r="J237" t="s">
        <v>262</v>
      </c>
      <c r="K237" t="s">
        <v>364</v>
      </c>
      <c r="L237">
        <v>2025</v>
      </c>
      <c r="M237" t="s">
        <v>24</v>
      </c>
      <c r="N237">
        <v>957.1</v>
      </c>
      <c r="O237">
        <v>18.2</v>
      </c>
      <c r="P237" s="3">
        <v>15.2965980240145</v>
      </c>
      <c r="Q237">
        <v>0.49710786245688859</v>
      </c>
      <c r="R237" s="5">
        <v>40.350819320699706</v>
      </c>
      <c r="S237">
        <v>22.722663405475746</v>
      </c>
      <c r="T237" s="3">
        <f t="shared" ref="T237:T260" si="10">IF(N237&lt;= 0, -9, N237/ 453.6 / (R237/ 43560) * ((100 - O237) / (100 - 18)) / 100)</f>
        <v>22.722663405475746</v>
      </c>
      <c r="U237">
        <f t="shared" si="9"/>
        <v>7.4260653814612461</v>
      </c>
    </row>
    <row r="238" spans="1:21" hidden="1" x14ac:dyDescent="0.25">
      <c r="A238" t="s">
        <v>178</v>
      </c>
      <c r="B238">
        <v>14</v>
      </c>
      <c r="C238">
        <v>36</v>
      </c>
      <c r="D238">
        <v>2</v>
      </c>
      <c r="E238">
        <v>5</v>
      </c>
      <c r="F238">
        <v>13</v>
      </c>
      <c r="G238">
        <v>17</v>
      </c>
      <c r="H238" t="s">
        <v>316</v>
      </c>
      <c r="I238" t="s">
        <v>317</v>
      </c>
      <c r="J238" t="s">
        <v>262</v>
      </c>
      <c r="K238" t="s">
        <v>318</v>
      </c>
      <c r="L238">
        <v>2025</v>
      </c>
      <c r="M238" t="s">
        <v>24</v>
      </c>
      <c r="N238">
        <v>929.88</v>
      </c>
      <c r="O238">
        <v>16.8</v>
      </c>
      <c r="P238" s="3">
        <v>15.115915915915901</v>
      </c>
      <c r="Q238">
        <v>2.543386095025328</v>
      </c>
      <c r="R238" s="5">
        <v>55.376753588243133</v>
      </c>
      <c r="S238">
        <v>16.361522503413063</v>
      </c>
      <c r="T238" s="3">
        <f t="shared" si="10"/>
        <v>16.361522503413063</v>
      </c>
      <c r="U238">
        <f t="shared" si="9"/>
        <v>1.2456065874971625</v>
      </c>
    </row>
    <row r="239" spans="1:21" hidden="1" x14ac:dyDescent="0.25">
      <c r="A239" t="s">
        <v>188</v>
      </c>
      <c r="B239">
        <v>2</v>
      </c>
      <c r="C239">
        <v>6</v>
      </c>
      <c r="D239">
        <v>2</v>
      </c>
      <c r="E239">
        <v>7</v>
      </c>
      <c r="F239">
        <v>15</v>
      </c>
      <c r="G239">
        <v>18</v>
      </c>
      <c r="H239" t="s">
        <v>270</v>
      </c>
      <c r="I239" t="s">
        <v>271</v>
      </c>
      <c r="J239" t="s">
        <v>262</v>
      </c>
      <c r="K239" t="s">
        <v>272</v>
      </c>
      <c r="L239">
        <v>2025</v>
      </c>
      <c r="M239" t="s">
        <v>24</v>
      </c>
      <c r="N239">
        <v>929.88</v>
      </c>
      <c r="O239">
        <v>17.3</v>
      </c>
      <c r="P239" s="3">
        <v>15.025075075075099</v>
      </c>
      <c r="Q239">
        <v>0.54240329610423432</v>
      </c>
      <c r="R239" s="5">
        <v>30.838374838936399</v>
      </c>
      <c r="S239">
        <v>29.203970854615285</v>
      </c>
      <c r="T239" s="3">
        <f t="shared" si="10"/>
        <v>29.203970854615285</v>
      </c>
      <c r="U239">
        <f t="shared" si="9"/>
        <v>14.178895779540186</v>
      </c>
    </row>
    <row r="240" spans="1:21" hidden="1" x14ac:dyDescent="0.25">
      <c r="A240" t="s">
        <v>173</v>
      </c>
      <c r="B240">
        <v>2</v>
      </c>
      <c r="C240">
        <v>23</v>
      </c>
      <c r="D240">
        <v>2</v>
      </c>
      <c r="E240">
        <v>4</v>
      </c>
      <c r="F240">
        <v>12</v>
      </c>
      <c r="G240">
        <v>17</v>
      </c>
      <c r="H240" t="s">
        <v>302</v>
      </c>
      <c r="I240" t="s">
        <v>303</v>
      </c>
      <c r="J240" t="s">
        <v>262</v>
      </c>
      <c r="K240" t="s">
        <v>304</v>
      </c>
      <c r="L240">
        <v>2025</v>
      </c>
      <c r="M240" t="s">
        <v>24</v>
      </c>
      <c r="N240">
        <v>911.74</v>
      </c>
      <c r="O240">
        <v>15.8</v>
      </c>
      <c r="P240" s="3">
        <v>14.999173692985799</v>
      </c>
      <c r="Q240">
        <v>0.48480071126857099</v>
      </c>
      <c r="R240" s="5">
        <v>43.218346376023774</v>
      </c>
      <c r="S240">
        <v>20.802518988934168</v>
      </c>
      <c r="T240" s="3">
        <f t="shared" si="10"/>
        <v>20.802518988934168</v>
      </c>
      <c r="U240">
        <f t="shared" si="9"/>
        <v>5.8033452959483682</v>
      </c>
    </row>
    <row r="241" spans="1:21" hidden="1" x14ac:dyDescent="0.25">
      <c r="A241" t="s">
        <v>224</v>
      </c>
      <c r="B241">
        <v>6</v>
      </c>
      <c r="C241">
        <v>35</v>
      </c>
      <c r="D241">
        <v>3</v>
      </c>
      <c r="E241">
        <v>8</v>
      </c>
      <c r="F241">
        <v>24</v>
      </c>
      <c r="G241">
        <v>14</v>
      </c>
      <c r="H241" t="s">
        <v>326</v>
      </c>
      <c r="I241" t="s">
        <v>274</v>
      </c>
      <c r="J241" t="s">
        <v>262</v>
      </c>
      <c r="K241" t="s">
        <v>327</v>
      </c>
      <c r="L241">
        <v>2025</v>
      </c>
      <c r="M241" t="s">
        <v>24</v>
      </c>
      <c r="N241">
        <v>948.02</v>
      </c>
      <c r="O241">
        <v>19.100000000000001</v>
      </c>
      <c r="P241" s="3">
        <v>14.984776003904299</v>
      </c>
      <c r="Q241">
        <v>1.3838040433671539</v>
      </c>
      <c r="R241" s="5">
        <v>38.895128342399701</v>
      </c>
      <c r="S241">
        <v>23.092544283879008</v>
      </c>
      <c r="T241" s="3">
        <f t="shared" si="10"/>
        <v>23.092544283879008</v>
      </c>
      <c r="U241">
        <f t="shared" si="9"/>
        <v>8.1077682799747084</v>
      </c>
    </row>
    <row r="242" spans="1:21" hidden="1" x14ac:dyDescent="0.25">
      <c r="A242" t="s">
        <v>19</v>
      </c>
      <c r="B242">
        <v>6</v>
      </c>
      <c r="C242">
        <v>1</v>
      </c>
      <c r="D242">
        <v>1</v>
      </c>
      <c r="E242">
        <v>1</v>
      </c>
      <c r="F242">
        <v>1</v>
      </c>
      <c r="G242">
        <v>14</v>
      </c>
      <c r="H242" t="s">
        <v>260</v>
      </c>
      <c r="I242" t="s">
        <v>261</v>
      </c>
      <c r="J242" t="s">
        <v>262</v>
      </c>
      <c r="K242" t="s">
        <v>263</v>
      </c>
      <c r="L242">
        <v>2025</v>
      </c>
      <c r="M242" t="s">
        <v>24</v>
      </c>
      <c r="N242">
        <v>898.13</v>
      </c>
      <c r="O242">
        <v>15.8</v>
      </c>
      <c r="P242" s="3">
        <v>14.775273508764901</v>
      </c>
      <c r="Q242">
        <v>1.588806776725856</v>
      </c>
      <c r="R242" s="5">
        <v>49.101757263999446</v>
      </c>
      <c r="S242">
        <v>18.03662319769354</v>
      </c>
      <c r="T242" s="3">
        <f t="shared" si="10"/>
        <v>18.03662319769354</v>
      </c>
      <c r="U242">
        <f t="shared" si="9"/>
        <v>3.2613496889286395</v>
      </c>
    </row>
    <row r="243" spans="1:21" hidden="1" x14ac:dyDescent="0.25">
      <c r="A243" t="s">
        <v>196</v>
      </c>
      <c r="B243">
        <v>17</v>
      </c>
      <c r="C243">
        <v>4</v>
      </c>
      <c r="D243">
        <v>3</v>
      </c>
      <c r="E243">
        <v>2</v>
      </c>
      <c r="F243">
        <v>18</v>
      </c>
      <c r="G243">
        <v>16</v>
      </c>
      <c r="H243" t="s">
        <v>291</v>
      </c>
      <c r="I243" t="s">
        <v>271</v>
      </c>
      <c r="J243" t="s">
        <v>262</v>
      </c>
      <c r="K243" t="s">
        <v>292</v>
      </c>
      <c r="L243">
        <v>2025</v>
      </c>
      <c r="M243" t="s">
        <v>24</v>
      </c>
      <c r="N243">
        <v>898.13</v>
      </c>
      <c r="O243">
        <v>16.7</v>
      </c>
      <c r="P243" s="3">
        <v>14.6173430318304</v>
      </c>
      <c r="Q243">
        <v>2.8159975341991408</v>
      </c>
      <c r="R243" s="5">
        <v>55.311115858366101</v>
      </c>
      <c r="S243">
        <v>15.840641211641527</v>
      </c>
      <c r="T243" s="3">
        <f t="shared" si="10"/>
        <v>15.840641211641527</v>
      </c>
      <c r="U243">
        <f t="shared" si="9"/>
        <v>1.2232981798111275</v>
      </c>
    </row>
    <row r="244" spans="1:21" hidden="1" x14ac:dyDescent="0.25">
      <c r="A244" t="s">
        <v>377</v>
      </c>
      <c r="B244">
        <v>7</v>
      </c>
      <c r="C244">
        <v>5</v>
      </c>
      <c r="D244">
        <v>3</v>
      </c>
      <c r="E244">
        <v>8</v>
      </c>
      <c r="F244">
        <v>24</v>
      </c>
      <c r="G244">
        <v>15</v>
      </c>
      <c r="H244" t="s">
        <v>345</v>
      </c>
      <c r="I244" t="s">
        <v>271</v>
      </c>
      <c r="J244" t="s">
        <v>262</v>
      </c>
      <c r="K244" t="s">
        <v>346</v>
      </c>
      <c r="L244">
        <v>2025</v>
      </c>
      <c r="M244" t="s">
        <v>24</v>
      </c>
      <c r="N244">
        <v>911.74</v>
      </c>
      <c r="O244">
        <v>18.3</v>
      </c>
      <c r="P244" s="3">
        <v>14.553830056020701</v>
      </c>
      <c r="Q244">
        <v>1.369638709697323</v>
      </c>
      <c r="R244" s="5">
        <v>49.742654107311019</v>
      </c>
      <c r="S244">
        <v>17.537395002605262</v>
      </c>
      <c r="T244" s="3">
        <f t="shared" si="10"/>
        <v>17.537395002605262</v>
      </c>
      <c r="U244">
        <f t="shared" si="9"/>
        <v>2.9835649465845613</v>
      </c>
    </row>
    <row r="245" spans="1:21" hidden="1" x14ac:dyDescent="0.25">
      <c r="A245" t="s">
        <v>212</v>
      </c>
      <c r="B245">
        <v>6</v>
      </c>
      <c r="C245">
        <v>34</v>
      </c>
      <c r="D245">
        <v>3</v>
      </c>
      <c r="E245">
        <v>5</v>
      </c>
      <c r="F245">
        <v>21</v>
      </c>
      <c r="G245">
        <v>17</v>
      </c>
      <c r="H245" t="s">
        <v>273</v>
      </c>
      <c r="I245" t="s">
        <v>274</v>
      </c>
      <c r="J245" t="s">
        <v>262</v>
      </c>
      <c r="K245" t="s">
        <v>275</v>
      </c>
      <c r="L245">
        <v>2025</v>
      </c>
      <c r="M245" t="s">
        <v>24</v>
      </c>
      <c r="N245">
        <v>907.2</v>
      </c>
      <c r="O245">
        <v>18</v>
      </c>
      <c r="P245" s="3">
        <v>14.534534534534499</v>
      </c>
      <c r="Q245">
        <v>1.559433532933806</v>
      </c>
      <c r="R245" s="5">
        <v>51.7855866051462</v>
      </c>
      <c r="S245">
        <v>16.823213892365651</v>
      </c>
      <c r="T245" s="3">
        <f t="shared" si="10"/>
        <v>16.823213892365651</v>
      </c>
      <c r="U245">
        <f t="shared" si="9"/>
        <v>2.2886793578311515</v>
      </c>
    </row>
    <row r="246" spans="1:21" hidden="1" x14ac:dyDescent="0.25">
      <c r="A246" t="s">
        <v>172</v>
      </c>
      <c r="B246">
        <v>8</v>
      </c>
      <c r="C246">
        <v>33</v>
      </c>
      <c r="D246">
        <v>2</v>
      </c>
      <c r="E246">
        <v>4</v>
      </c>
      <c r="F246">
        <v>12</v>
      </c>
      <c r="G246">
        <v>16</v>
      </c>
      <c r="H246" t="s">
        <v>335</v>
      </c>
      <c r="I246" t="s">
        <v>336</v>
      </c>
      <c r="J246" t="s">
        <v>262</v>
      </c>
      <c r="K246" t="s">
        <v>337</v>
      </c>
      <c r="L246">
        <v>2025</v>
      </c>
      <c r="M246" t="s">
        <v>24</v>
      </c>
      <c r="N246">
        <v>893.59</v>
      </c>
      <c r="O246">
        <v>16.8</v>
      </c>
      <c r="P246" s="3">
        <v>14.5259940027781</v>
      </c>
      <c r="Q246">
        <v>1.927805726998493</v>
      </c>
      <c r="R246" s="5">
        <v>48.750708064839081</v>
      </c>
      <c r="S246">
        <v>17.860008912455033</v>
      </c>
      <c r="T246" s="3">
        <f t="shared" si="10"/>
        <v>17.860008912455033</v>
      </c>
      <c r="U246">
        <f t="shared" si="9"/>
        <v>3.3340149096769327</v>
      </c>
    </row>
    <row r="247" spans="1:21" hidden="1" x14ac:dyDescent="0.25">
      <c r="A247" t="s">
        <v>198</v>
      </c>
      <c r="B247">
        <v>11</v>
      </c>
      <c r="C247">
        <v>26</v>
      </c>
      <c r="D247">
        <v>3</v>
      </c>
      <c r="E247">
        <v>2</v>
      </c>
      <c r="F247">
        <v>18</v>
      </c>
      <c r="G247">
        <v>18</v>
      </c>
      <c r="H247" t="s">
        <v>366</v>
      </c>
      <c r="I247" t="s">
        <v>363</v>
      </c>
      <c r="J247" t="s">
        <v>262</v>
      </c>
      <c r="K247" t="s">
        <v>367</v>
      </c>
      <c r="L247">
        <v>2025</v>
      </c>
      <c r="M247" t="s">
        <v>24</v>
      </c>
      <c r="N247">
        <v>893.59</v>
      </c>
      <c r="O247">
        <v>16.899999999999999</v>
      </c>
      <c r="P247" s="3">
        <v>14.5085348753709</v>
      </c>
      <c r="Q247">
        <v>2.3142230398744932</v>
      </c>
      <c r="R247" s="5">
        <v>48.910065378905045</v>
      </c>
      <c r="S247">
        <v>17.780421549074642</v>
      </c>
      <c r="T247" s="3">
        <f t="shared" si="10"/>
        <v>17.780421549074642</v>
      </c>
      <c r="U247">
        <f t="shared" si="9"/>
        <v>3.271886673703742</v>
      </c>
    </row>
    <row r="248" spans="1:21" hidden="1" x14ac:dyDescent="0.25">
      <c r="A248" t="s">
        <v>217</v>
      </c>
      <c r="B248">
        <v>4</v>
      </c>
      <c r="C248">
        <v>3</v>
      </c>
      <c r="D248">
        <v>3</v>
      </c>
      <c r="E248">
        <v>6</v>
      </c>
      <c r="F248">
        <v>22</v>
      </c>
      <c r="G248">
        <v>17</v>
      </c>
      <c r="H248" t="s">
        <v>338</v>
      </c>
      <c r="I248" t="s">
        <v>271</v>
      </c>
      <c r="J248" t="s">
        <v>262</v>
      </c>
      <c r="K248" t="s">
        <v>339</v>
      </c>
      <c r="L248">
        <v>2025</v>
      </c>
      <c r="M248" t="s">
        <v>24</v>
      </c>
      <c r="N248">
        <v>875.45</v>
      </c>
      <c r="O248">
        <v>15.4</v>
      </c>
      <c r="P248" s="3">
        <v>14.470580191108599</v>
      </c>
      <c r="Q248">
        <v>0.94472861480062953</v>
      </c>
      <c r="R248" s="5">
        <v>35.168964336852497</v>
      </c>
      <c r="S248">
        <v>24.66284103072563</v>
      </c>
      <c r="T248" s="3">
        <f t="shared" si="10"/>
        <v>24.66284103072563</v>
      </c>
      <c r="U248">
        <f t="shared" si="9"/>
        <v>10.192260839617031</v>
      </c>
    </row>
    <row r="249" spans="1:21" hidden="1" x14ac:dyDescent="0.25">
      <c r="A249" t="s">
        <v>49</v>
      </c>
      <c r="B249">
        <v>10</v>
      </c>
      <c r="C249">
        <v>37</v>
      </c>
      <c r="D249">
        <v>1</v>
      </c>
      <c r="E249">
        <v>2</v>
      </c>
      <c r="F249">
        <v>2</v>
      </c>
      <c r="G249">
        <v>17</v>
      </c>
      <c r="H249" t="s">
        <v>285</v>
      </c>
      <c r="I249" t="s">
        <v>286</v>
      </c>
      <c r="J249" t="s">
        <v>262</v>
      </c>
      <c r="K249" t="s">
        <v>287</v>
      </c>
      <c r="L249">
        <v>2025</v>
      </c>
      <c r="M249" t="s">
        <v>24</v>
      </c>
      <c r="N249">
        <v>852.77</v>
      </c>
      <c r="O249">
        <v>16.899999999999999</v>
      </c>
      <c r="P249" s="3">
        <v>13.845771870399201</v>
      </c>
      <c r="Q249">
        <v>1.940928834666392</v>
      </c>
      <c r="R249" s="5">
        <v>52.891963883465579</v>
      </c>
      <c r="S249">
        <v>15.690768596534722</v>
      </c>
      <c r="T249" s="3">
        <f t="shared" si="10"/>
        <v>15.690768596534722</v>
      </c>
      <c r="U249">
        <f t="shared" si="9"/>
        <v>1.8449967261355216</v>
      </c>
    </row>
    <row r="250" spans="1:21" hidden="1" x14ac:dyDescent="0.25">
      <c r="A250" t="s">
        <v>157</v>
      </c>
      <c r="B250">
        <v>12</v>
      </c>
      <c r="C250">
        <v>37</v>
      </c>
      <c r="D250">
        <v>2</v>
      </c>
      <c r="E250">
        <v>1</v>
      </c>
      <c r="F250">
        <v>9</v>
      </c>
      <c r="G250">
        <v>18</v>
      </c>
      <c r="H250" t="s">
        <v>285</v>
      </c>
      <c r="I250" t="s">
        <v>286</v>
      </c>
      <c r="J250" t="s">
        <v>262</v>
      </c>
      <c r="K250" t="s">
        <v>287</v>
      </c>
      <c r="L250">
        <v>2025</v>
      </c>
      <c r="M250" t="s">
        <v>24</v>
      </c>
      <c r="N250">
        <v>843.7</v>
      </c>
      <c r="O250">
        <v>16.600000000000001</v>
      </c>
      <c r="P250" s="3">
        <v>13.747962344845799</v>
      </c>
      <c r="Q250">
        <v>2.5293125905377591</v>
      </c>
      <c r="R250" s="5">
        <v>45.225267793289397</v>
      </c>
      <c r="S250">
        <v>18.221072050176616</v>
      </c>
      <c r="T250" s="3">
        <f t="shared" si="10"/>
        <v>18.221072050176616</v>
      </c>
      <c r="U250">
        <f t="shared" si="9"/>
        <v>4.4731097053308169</v>
      </c>
    </row>
    <row r="251" spans="1:21" hidden="1" x14ac:dyDescent="0.25">
      <c r="A251" t="s">
        <v>25</v>
      </c>
      <c r="B251">
        <v>17</v>
      </c>
      <c r="C251">
        <v>7</v>
      </c>
      <c r="D251">
        <v>1</v>
      </c>
      <c r="E251">
        <v>1</v>
      </c>
      <c r="F251">
        <v>1</v>
      </c>
      <c r="G251">
        <v>15</v>
      </c>
      <c r="H251" t="s">
        <v>264</v>
      </c>
      <c r="I251" t="s">
        <v>265</v>
      </c>
      <c r="J251" t="s">
        <v>262</v>
      </c>
      <c r="K251" t="s">
        <v>266</v>
      </c>
      <c r="L251">
        <v>2025</v>
      </c>
      <c r="M251" t="s">
        <v>24</v>
      </c>
      <c r="N251">
        <v>821.02</v>
      </c>
      <c r="O251">
        <v>17.100000000000001</v>
      </c>
      <c r="P251" s="3">
        <v>13.2981890104067</v>
      </c>
      <c r="Q251">
        <v>3.2067729036536181</v>
      </c>
      <c r="R251" s="5">
        <v>50.517382857637202</v>
      </c>
      <c r="S251">
        <v>15.778597468718116</v>
      </c>
      <c r="T251" s="3">
        <f t="shared" si="10"/>
        <v>15.778597468718116</v>
      </c>
      <c r="U251">
        <f t="shared" si="9"/>
        <v>2.4804084583114161</v>
      </c>
    </row>
    <row r="252" spans="1:21" hidden="1" x14ac:dyDescent="0.25">
      <c r="A252" t="s">
        <v>190</v>
      </c>
      <c r="B252">
        <v>19</v>
      </c>
      <c r="C252">
        <v>2</v>
      </c>
      <c r="D252">
        <v>3</v>
      </c>
      <c r="E252">
        <v>1</v>
      </c>
      <c r="F252">
        <v>17</v>
      </c>
      <c r="G252">
        <v>14</v>
      </c>
      <c r="H252" t="s">
        <v>296</v>
      </c>
      <c r="I252" t="s">
        <v>297</v>
      </c>
      <c r="J252" t="s">
        <v>262</v>
      </c>
      <c r="K252" t="s">
        <v>298</v>
      </c>
      <c r="L252">
        <v>2025</v>
      </c>
      <c r="M252" t="s">
        <v>24</v>
      </c>
      <c r="N252">
        <v>816.48</v>
      </c>
      <c r="O252">
        <v>17.2</v>
      </c>
      <c r="P252" s="3">
        <v>13.2087013843111</v>
      </c>
      <c r="Q252">
        <v>3.1116739465105319</v>
      </c>
      <c r="R252" s="5">
        <v>50.493747192844701</v>
      </c>
      <c r="S252">
        <v>15.679754523898815</v>
      </c>
      <c r="T252" s="3">
        <f t="shared" si="10"/>
        <v>15.679754523898815</v>
      </c>
      <c r="U252">
        <f t="shared" si="9"/>
        <v>2.4710531395877151</v>
      </c>
    </row>
    <row r="253" spans="1:21" hidden="1" x14ac:dyDescent="0.25">
      <c r="A253" t="s">
        <v>380</v>
      </c>
      <c r="B253">
        <v>2</v>
      </c>
      <c r="C253">
        <v>25</v>
      </c>
      <c r="D253">
        <v>3</v>
      </c>
      <c r="E253">
        <v>8</v>
      </c>
      <c r="F253">
        <v>24</v>
      </c>
      <c r="G253">
        <v>18</v>
      </c>
      <c r="H253" t="s">
        <v>358</v>
      </c>
      <c r="I253" t="s">
        <v>359</v>
      </c>
      <c r="J253" t="s">
        <v>262</v>
      </c>
      <c r="K253" t="s">
        <v>360</v>
      </c>
      <c r="L253">
        <v>2025</v>
      </c>
      <c r="M253" t="s">
        <v>24</v>
      </c>
      <c r="N253">
        <v>802.87</v>
      </c>
      <c r="O253">
        <v>17.3</v>
      </c>
      <c r="P253" s="3">
        <v>12.972837382808001</v>
      </c>
      <c r="Q253">
        <v>0.50044384746208848</v>
      </c>
      <c r="R253" s="5">
        <v>50.386727529697197</v>
      </c>
      <c r="S253">
        <v>15.432474202005114</v>
      </c>
      <c r="T253" s="3">
        <f t="shared" si="10"/>
        <v>15.432474202005114</v>
      </c>
      <c r="U253">
        <f t="shared" si="9"/>
        <v>2.4596368191971134</v>
      </c>
    </row>
    <row r="254" spans="1:21" hidden="1" x14ac:dyDescent="0.25">
      <c r="A254" t="s">
        <v>216</v>
      </c>
      <c r="B254">
        <v>0</v>
      </c>
      <c r="C254">
        <v>6</v>
      </c>
      <c r="D254">
        <v>3</v>
      </c>
      <c r="E254">
        <v>6</v>
      </c>
      <c r="F254">
        <v>22</v>
      </c>
      <c r="G254">
        <v>16</v>
      </c>
      <c r="H254" t="s">
        <v>270</v>
      </c>
      <c r="I254" t="s">
        <v>271</v>
      </c>
      <c r="J254" t="s">
        <v>262</v>
      </c>
      <c r="K254" t="s">
        <v>272</v>
      </c>
      <c r="L254">
        <v>2025</v>
      </c>
      <c r="M254" t="s">
        <v>24</v>
      </c>
      <c r="N254">
        <v>798.34</v>
      </c>
      <c r="O254">
        <v>17.600000000000001</v>
      </c>
      <c r="P254" s="3">
        <v>12.8528469364964</v>
      </c>
      <c r="R254" s="5">
        <v>55.12</v>
      </c>
      <c r="S254">
        <v>13.976771505326498</v>
      </c>
      <c r="T254" s="3">
        <f t="shared" si="10"/>
        <v>13.976771505326498</v>
      </c>
      <c r="U254">
        <f t="shared" si="9"/>
        <v>1.1239245688300983</v>
      </c>
    </row>
    <row r="255" spans="1:21" hidden="1" x14ac:dyDescent="0.25">
      <c r="A255" t="s">
        <v>197</v>
      </c>
      <c r="B255">
        <v>15</v>
      </c>
      <c r="C255">
        <v>7</v>
      </c>
      <c r="D255">
        <v>3</v>
      </c>
      <c r="E255">
        <v>2</v>
      </c>
      <c r="F255">
        <v>18</v>
      </c>
      <c r="G255">
        <v>17</v>
      </c>
      <c r="H255" t="s">
        <v>264</v>
      </c>
      <c r="I255" t="s">
        <v>265</v>
      </c>
      <c r="J255" t="s">
        <v>262</v>
      </c>
      <c r="K255" t="s">
        <v>266</v>
      </c>
      <c r="L255">
        <v>2025</v>
      </c>
      <c r="M255" t="s">
        <v>24</v>
      </c>
      <c r="N255">
        <v>766.58</v>
      </c>
      <c r="O255">
        <v>15.9</v>
      </c>
      <c r="P255" s="3">
        <v>12.596146827560601</v>
      </c>
      <c r="Q255">
        <v>2.6692274231734618</v>
      </c>
      <c r="R255" s="5">
        <v>43.731297060296797</v>
      </c>
      <c r="S255">
        <v>17.26482157167592</v>
      </c>
      <c r="T255" s="3">
        <f t="shared" si="10"/>
        <v>17.26482157167592</v>
      </c>
      <c r="U255">
        <f t="shared" si="9"/>
        <v>4.6686747441153198</v>
      </c>
    </row>
    <row r="256" spans="1:21" hidden="1" x14ac:dyDescent="0.25">
      <c r="A256" t="s">
        <v>194</v>
      </c>
      <c r="B256">
        <v>17</v>
      </c>
      <c r="C256">
        <v>31</v>
      </c>
      <c r="D256">
        <v>3</v>
      </c>
      <c r="E256">
        <v>1</v>
      </c>
      <c r="F256">
        <v>17</v>
      </c>
      <c r="G256">
        <v>18</v>
      </c>
      <c r="H256" t="s">
        <v>267</v>
      </c>
      <c r="I256" t="s">
        <v>268</v>
      </c>
      <c r="J256" t="s">
        <v>262</v>
      </c>
      <c r="K256" t="s">
        <v>269</v>
      </c>
      <c r="L256">
        <v>2025</v>
      </c>
      <c r="M256" t="s">
        <v>24</v>
      </c>
      <c r="N256">
        <v>743.9</v>
      </c>
      <c r="O256">
        <v>15.1</v>
      </c>
      <c r="P256" s="3">
        <v>12.339753468141</v>
      </c>
      <c r="Q256">
        <v>2.716811831855924</v>
      </c>
      <c r="R256" s="5">
        <v>44.243490876914002</v>
      </c>
      <c r="S256">
        <v>16.7175963790487</v>
      </c>
      <c r="T256" s="3">
        <f t="shared" si="10"/>
        <v>16.7175963790487</v>
      </c>
      <c r="U256">
        <f t="shared" si="9"/>
        <v>4.3778429109077006</v>
      </c>
    </row>
    <row r="257" spans="1:21" hidden="1" x14ac:dyDescent="0.25">
      <c r="A257" t="s">
        <v>192</v>
      </c>
      <c r="B257">
        <v>12</v>
      </c>
      <c r="C257">
        <v>38</v>
      </c>
      <c r="D257">
        <v>3</v>
      </c>
      <c r="E257">
        <v>1</v>
      </c>
      <c r="F257">
        <v>17</v>
      </c>
      <c r="G257">
        <v>16</v>
      </c>
      <c r="H257" t="s">
        <v>340</v>
      </c>
      <c r="I257" t="s">
        <v>341</v>
      </c>
      <c r="J257" t="s">
        <v>262</v>
      </c>
      <c r="K257" t="s">
        <v>342</v>
      </c>
      <c r="L257">
        <v>2025</v>
      </c>
      <c r="M257" t="s">
        <v>24</v>
      </c>
      <c r="N257">
        <v>739.37</v>
      </c>
      <c r="O257">
        <v>17.100000000000001</v>
      </c>
      <c r="P257" s="3">
        <v>11.9756912238732</v>
      </c>
      <c r="Q257">
        <v>2.020267041045047</v>
      </c>
      <c r="R257" s="5">
        <v>28.745952403104798</v>
      </c>
      <c r="S257">
        <v>24.971269759753437</v>
      </c>
      <c r="T257" s="3">
        <f t="shared" si="10"/>
        <v>24.971269759753437</v>
      </c>
      <c r="U257">
        <f t="shared" si="9"/>
        <v>12.995578535880236</v>
      </c>
    </row>
    <row r="258" spans="1:21" hidden="1" x14ac:dyDescent="0.25">
      <c r="A258" t="s">
        <v>57</v>
      </c>
      <c r="B258">
        <v>6</v>
      </c>
      <c r="C258">
        <v>4</v>
      </c>
      <c r="D258">
        <v>1</v>
      </c>
      <c r="E258">
        <v>3</v>
      </c>
      <c r="F258">
        <v>3</v>
      </c>
      <c r="G258">
        <v>14</v>
      </c>
      <c r="H258" t="s">
        <v>291</v>
      </c>
      <c r="I258" t="s">
        <v>271</v>
      </c>
      <c r="J258" t="s">
        <v>262</v>
      </c>
      <c r="K258" t="s">
        <v>292</v>
      </c>
      <c r="L258">
        <v>2025</v>
      </c>
      <c r="M258" t="s">
        <v>24</v>
      </c>
      <c r="N258">
        <v>703.08</v>
      </c>
      <c r="O258">
        <v>15.3</v>
      </c>
      <c r="P258" s="3">
        <v>11.6351607705266</v>
      </c>
      <c r="Q258">
        <v>1.3747143154135411</v>
      </c>
      <c r="R258" s="5">
        <v>25.797287419679801</v>
      </c>
      <c r="S258">
        <v>27.03429725922798</v>
      </c>
      <c r="T258" s="3">
        <f t="shared" si="10"/>
        <v>27.03429725922798</v>
      </c>
      <c r="U258">
        <f t="shared" si="9"/>
        <v>15.39913648870138</v>
      </c>
    </row>
    <row r="259" spans="1:21" hidden="1" x14ac:dyDescent="0.25">
      <c r="A259" t="s">
        <v>177</v>
      </c>
      <c r="B259">
        <v>5</v>
      </c>
      <c r="C259">
        <v>7</v>
      </c>
      <c r="D259">
        <v>2</v>
      </c>
      <c r="E259">
        <v>5</v>
      </c>
      <c r="F259">
        <v>13</v>
      </c>
      <c r="G259">
        <v>16</v>
      </c>
      <c r="H259" t="s">
        <v>264</v>
      </c>
      <c r="I259" t="s">
        <v>265</v>
      </c>
      <c r="J259" t="s">
        <v>262</v>
      </c>
      <c r="K259" t="s">
        <v>266</v>
      </c>
      <c r="L259">
        <v>2025</v>
      </c>
      <c r="M259" t="s">
        <v>24</v>
      </c>
      <c r="N259">
        <v>680.4</v>
      </c>
      <c r="O259">
        <v>14.4</v>
      </c>
      <c r="P259" s="3">
        <v>11.379477038013601</v>
      </c>
      <c r="Q259">
        <v>0.9809769107729065</v>
      </c>
      <c r="R259" s="5">
        <v>25.68</v>
      </c>
      <c r="S259">
        <v>26.560975609756092</v>
      </c>
      <c r="T259" s="3">
        <f t="shared" si="10"/>
        <v>26.560975609756092</v>
      </c>
      <c r="U259">
        <f t="shared" si="9"/>
        <v>15.181498571742491</v>
      </c>
    </row>
    <row r="260" spans="1:21" hidden="1" x14ac:dyDescent="0.25">
      <c r="A260" t="s">
        <v>199</v>
      </c>
      <c r="B260">
        <v>23</v>
      </c>
      <c r="C260">
        <v>37</v>
      </c>
      <c r="D260">
        <v>3</v>
      </c>
      <c r="E260">
        <v>3</v>
      </c>
      <c r="F260">
        <v>19</v>
      </c>
      <c r="G260">
        <v>14</v>
      </c>
      <c r="H260" t="s">
        <v>285</v>
      </c>
      <c r="I260" t="s">
        <v>286</v>
      </c>
      <c r="J260" t="s">
        <v>262</v>
      </c>
      <c r="K260" t="s">
        <v>287</v>
      </c>
      <c r="L260">
        <v>2025</v>
      </c>
      <c r="M260" t="s">
        <v>24</v>
      </c>
      <c r="N260">
        <v>567</v>
      </c>
      <c r="O260">
        <v>14.1</v>
      </c>
      <c r="P260" s="3">
        <v>9.5161319856441793</v>
      </c>
      <c r="Q260">
        <v>3.6132061471920252</v>
      </c>
      <c r="R260" s="5">
        <v>22.56</v>
      </c>
      <c r="S260">
        <v>25.283552802283342</v>
      </c>
      <c r="T260" s="3">
        <f t="shared" si="10"/>
        <v>25.283552802283342</v>
      </c>
      <c r="U260">
        <f t="shared" si="9"/>
        <v>15.767420816639163</v>
      </c>
    </row>
    <row r="261" spans="1:21" hidden="1" x14ac:dyDescent="0.25">
      <c r="A261" t="s">
        <v>178</v>
      </c>
      <c r="B261">
        <v>1</v>
      </c>
      <c r="C261">
        <v>21</v>
      </c>
      <c r="D261">
        <v>2</v>
      </c>
      <c r="E261">
        <v>6</v>
      </c>
      <c r="F261">
        <v>14</v>
      </c>
      <c r="G261">
        <v>22</v>
      </c>
      <c r="H261" t="s">
        <v>422</v>
      </c>
      <c r="I261" t="s">
        <v>382</v>
      </c>
      <c r="J261" t="s">
        <v>383</v>
      </c>
      <c r="K261" t="s">
        <v>423</v>
      </c>
      <c r="L261">
        <v>2025</v>
      </c>
      <c r="M261" t="s">
        <v>24</v>
      </c>
      <c r="N261">
        <v>1505.95</v>
      </c>
      <c r="O261">
        <v>16.399999999999999</v>
      </c>
      <c r="P261" s="3">
        <v>24.5980717780627</v>
      </c>
      <c r="Q261">
        <v>0.28274323840839333</v>
      </c>
      <c r="R261" s="3">
        <v>38.043419943904098</v>
      </c>
      <c r="S261">
        <v>38.75593794015181</v>
      </c>
      <c r="T261" s="3">
        <f>IF(N261&lt;= 0, -9, N261/ 453.6 / (R261/ 43560) * ((100 - O261) / (100 - 18)) / 100)</f>
        <v>38.75593794015181</v>
      </c>
      <c r="U261">
        <f t="shared" ref="U261:U292" si="11">T261-P261</f>
        <v>14.15786616208911</v>
      </c>
    </row>
    <row r="262" spans="1:21" hidden="1" x14ac:dyDescent="0.25">
      <c r="A262" t="s">
        <v>371</v>
      </c>
      <c r="B262">
        <v>8</v>
      </c>
      <c r="C262">
        <v>28</v>
      </c>
      <c r="D262">
        <v>2</v>
      </c>
      <c r="E262">
        <v>7</v>
      </c>
      <c r="F262">
        <v>15</v>
      </c>
      <c r="G262">
        <v>22</v>
      </c>
      <c r="H262" t="s">
        <v>115</v>
      </c>
      <c r="I262" t="s">
        <v>116</v>
      </c>
      <c r="J262" t="s">
        <v>383</v>
      </c>
      <c r="K262" t="s">
        <v>117</v>
      </c>
      <c r="L262">
        <v>2025</v>
      </c>
      <c r="M262" t="s">
        <v>24</v>
      </c>
      <c r="N262">
        <v>1510.49</v>
      </c>
      <c r="O262">
        <v>15.4</v>
      </c>
      <c r="P262" s="3">
        <v>24.967350131781</v>
      </c>
      <c r="Q262">
        <v>1.6602952964564059</v>
      </c>
      <c r="R262" s="3">
        <v>49.871252541527099</v>
      </c>
      <c r="S262">
        <v>30.008128744165873</v>
      </c>
      <c r="T262" s="3">
        <f t="shared" ref="T262:T325" si="12">IF(N262&lt;= 0, -9, N262/ 453.6 / (R262/ 43560) * ((100 - O262) / (100 - 18)) / 100)</f>
        <v>30.008128744165873</v>
      </c>
      <c r="U262">
        <f t="shared" si="11"/>
        <v>5.040778612384873</v>
      </c>
    </row>
    <row r="263" spans="1:21" hidden="1" x14ac:dyDescent="0.25">
      <c r="A263" t="s">
        <v>114</v>
      </c>
      <c r="B263">
        <v>4</v>
      </c>
      <c r="C263">
        <v>2</v>
      </c>
      <c r="D263">
        <v>1</v>
      </c>
      <c r="E263">
        <v>7</v>
      </c>
      <c r="F263">
        <v>7</v>
      </c>
      <c r="G263">
        <v>21</v>
      </c>
      <c r="H263" t="s">
        <v>441</v>
      </c>
      <c r="I263" t="s">
        <v>280</v>
      </c>
      <c r="J263" t="s">
        <v>383</v>
      </c>
      <c r="K263" t="s">
        <v>442</v>
      </c>
      <c r="L263">
        <v>2025</v>
      </c>
      <c r="M263" t="s">
        <v>24</v>
      </c>
      <c r="N263">
        <v>1519.56</v>
      </c>
      <c r="O263">
        <v>16</v>
      </c>
      <c r="P263" s="3">
        <v>24.939134256207399</v>
      </c>
      <c r="Q263">
        <v>1.0733139638168701</v>
      </c>
      <c r="R263" s="3">
        <v>43.553044175128399</v>
      </c>
      <c r="S263">
        <v>34.322553925420664</v>
      </c>
      <c r="T263" s="3">
        <f t="shared" si="12"/>
        <v>34.322553925420664</v>
      </c>
      <c r="U263">
        <f t="shared" si="11"/>
        <v>9.3834196692132643</v>
      </c>
    </row>
    <row r="264" spans="1:21" hidden="1" x14ac:dyDescent="0.25">
      <c r="A264" t="s">
        <v>172</v>
      </c>
      <c r="B264">
        <v>2</v>
      </c>
      <c r="C264">
        <v>3</v>
      </c>
      <c r="D264">
        <v>2</v>
      </c>
      <c r="E264">
        <v>5</v>
      </c>
      <c r="F264">
        <v>13</v>
      </c>
      <c r="G264">
        <v>20</v>
      </c>
      <c r="H264" t="s">
        <v>385</v>
      </c>
      <c r="I264" t="s">
        <v>386</v>
      </c>
      <c r="J264" t="s">
        <v>383</v>
      </c>
      <c r="K264" t="s">
        <v>387</v>
      </c>
      <c r="L264">
        <v>2025</v>
      </c>
      <c r="M264" t="s">
        <v>24</v>
      </c>
      <c r="N264">
        <v>1215.6500000000001</v>
      </c>
      <c r="O264">
        <v>15.5</v>
      </c>
      <c r="P264" s="3">
        <v>20.070098206672299</v>
      </c>
      <c r="Q264">
        <v>0.3504248486166367</v>
      </c>
      <c r="R264" s="3">
        <v>45.7719380280246</v>
      </c>
      <c r="S264">
        <v>26.282515845655904</v>
      </c>
      <c r="T264" s="3">
        <f t="shared" si="12"/>
        <v>26.282515845655904</v>
      </c>
      <c r="U264">
        <f t="shared" si="11"/>
        <v>6.2124176389836059</v>
      </c>
    </row>
    <row r="265" spans="1:21" hidden="1" x14ac:dyDescent="0.25">
      <c r="A265" t="s">
        <v>181</v>
      </c>
      <c r="B265">
        <v>6</v>
      </c>
      <c r="C265">
        <v>11</v>
      </c>
      <c r="D265">
        <v>2</v>
      </c>
      <c r="E265">
        <v>7</v>
      </c>
      <c r="F265">
        <v>15</v>
      </c>
      <c r="G265">
        <v>21</v>
      </c>
      <c r="H265" t="s">
        <v>419</v>
      </c>
      <c r="I265" t="s">
        <v>420</v>
      </c>
      <c r="J265" t="s">
        <v>383</v>
      </c>
      <c r="K265" t="s">
        <v>421</v>
      </c>
      <c r="L265">
        <v>2025</v>
      </c>
      <c r="M265" t="s">
        <v>24</v>
      </c>
      <c r="N265">
        <v>1242.8599999999999</v>
      </c>
      <c r="O265">
        <v>16.2</v>
      </c>
      <c r="P265" s="3">
        <v>20.349346358876598</v>
      </c>
      <c r="Q265">
        <v>1.34699877180981</v>
      </c>
      <c r="R265" s="3">
        <v>46.498960079883602</v>
      </c>
      <c r="S265">
        <v>26.231550526196589</v>
      </c>
      <c r="T265" s="3">
        <f t="shared" si="12"/>
        <v>26.231550526196589</v>
      </c>
      <c r="U265">
        <f t="shared" si="11"/>
        <v>5.8822041673199905</v>
      </c>
    </row>
    <row r="266" spans="1:21" hidden="1" x14ac:dyDescent="0.25">
      <c r="A266" t="s">
        <v>160</v>
      </c>
      <c r="B266">
        <v>11</v>
      </c>
      <c r="C266">
        <v>29</v>
      </c>
      <c r="D266">
        <v>2</v>
      </c>
      <c r="E266">
        <v>2</v>
      </c>
      <c r="F266">
        <v>10</v>
      </c>
      <c r="G266">
        <v>22</v>
      </c>
      <c r="H266" t="s">
        <v>139</v>
      </c>
      <c r="I266" t="s">
        <v>140</v>
      </c>
      <c r="J266" t="s">
        <v>383</v>
      </c>
      <c r="K266" t="s">
        <v>141</v>
      </c>
      <c r="L266">
        <v>2025</v>
      </c>
      <c r="M266" t="s">
        <v>24</v>
      </c>
      <c r="N266">
        <v>1365.34</v>
      </c>
      <c r="O266">
        <v>15</v>
      </c>
      <c r="P266" s="3">
        <v>22.674826555811201</v>
      </c>
      <c r="Q266">
        <v>1.7365103691123711</v>
      </c>
      <c r="R266" s="3">
        <v>40.691623962088649</v>
      </c>
      <c r="S266">
        <v>33.400709320954832</v>
      </c>
      <c r="T266" s="3">
        <f t="shared" si="12"/>
        <v>33.400709320954832</v>
      </c>
      <c r="U266">
        <f t="shared" si="11"/>
        <v>10.725882765143631</v>
      </c>
    </row>
    <row r="267" spans="1:21" hidden="1" x14ac:dyDescent="0.25">
      <c r="A267" t="s">
        <v>167</v>
      </c>
      <c r="B267">
        <v>3</v>
      </c>
      <c r="C267">
        <v>23</v>
      </c>
      <c r="D267">
        <v>2</v>
      </c>
      <c r="E267">
        <v>4</v>
      </c>
      <c r="F267">
        <v>12</v>
      </c>
      <c r="G267">
        <v>21</v>
      </c>
      <c r="H267" t="s">
        <v>409</v>
      </c>
      <c r="I267" t="s">
        <v>405</v>
      </c>
      <c r="J267" t="s">
        <v>383</v>
      </c>
      <c r="K267" t="s">
        <v>410</v>
      </c>
      <c r="L267">
        <v>2025</v>
      </c>
      <c r="M267" t="s">
        <v>24</v>
      </c>
      <c r="N267">
        <v>1038.74</v>
      </c>
      <c r="O267">
        <v>16</v>
      </c>
      <c r="P267" s="3">
        <v>17.047879858178</v>
      </c>
      <c r="Q267">
        <v>0.80133481317158362</v>
      </c>
      <c r="R267" s="3">
        <v>39.625487795497598</v>
      </c>
      <c r="S267">
        <v>25.787693112393523</v>
      </c>
      <c r="T267" s="3">
        <f t="shared" si="12"/>
        <v>25.787693112393523</v>
      </c>
      <c r="U267">
        <f t="shared" si="11"/>
        <v>8.7398132542155231</v>
      </c>
    </row>
    <row r="268" spans="1:21" hidden="1" x14ac:dyDescent="0.25">
      <c r="A268" t="s">
        <v>118</v>
      </c>
      <c r="B268">
        <v>2</v>
      </c>
      <c r="C268">
        <v>12</v>
      </c>
      <c r="D268">
        <v>1</v>
      </c>
      <c r="E268">
        <v>7</v>
      </c>
      <c r="F268">
        <v>7</v>
      </c>
      <c r="G268">
        <v>22</v>
      </c>
      <c r="H268" t="s">
        <v>443</v>
      </c>
      <c r="I268" t="s">
        <v>444</v>
      </c>
      <c r="J268" t="s">
        <v>383</v>
      </c>
      <c r="K268" t="s">
        <v>445</v>
      </c>
      <c r="L268">
        <v>2025</v>
      </c>
      <c r="M268" t="s">
        <v>24</v>
      </c>
      <c r="N268">
        <v>1564.92</v>
      </c>
      <c r="O268">
        <v>16</v>
      </c>
      <c r="P268" s="3">
        <v>25.683586025049401</v>
      </c>
      <c r="Q268">
        <v>0.40762770370683821</v>
      </c>
      <c r="R268" s="3">
        <v>46.387663839929999</v>
      </c>
      <c r="S268">
        <v>33.187145437065553</v>
      </c>
      <c r="T268" s="3">
        <f t="shared" si="12"/>
        <v>33.187145437065553</v>
      </c>
      <c r="U268">
        <f t="shared" si="11"/>
        <v>7.503559412016152</v>
      </c>
    </row>
    <row r="269" spans="1:21" hidden="1" x14ac:dyDescent="0.25">
      <c r="A269" t="s">
        <v>163</v>
      </c>
      <c r="B269">
        <v>6</v>
      </c>
      <c r="C269">
        <v>4</v>
      </c>
      <c r="D269">
        <v>2</v>
      </c>
      <c r="E269">
        <v>3</v>
      </c>
      <c r="F269">
        <v>11</v>
      </c>
      <c r="G269">
        <v>21</v>
      </c>
      <c r="H269" t="s">
        <v>446</v>
      </c>
      <c r="I269" t="s">
        <v>386</v>
      </c>
      <c r="J269" t="s">
        <v>383</v>
      </c>
      <c r="K269" t="s">
        <v>447</v>
      </c>
      <c r="L269">
        <v>2025</v>
      </c>
      <c r="M269" t="s">
        <v>24</v>
      </c>
      <c r="N269">
        <v>1605.74</v>
      </c>
      <c r="O269">
        <v>15.7</v>
      </c>
      <c r="P269" s="3">
        <v>26.447646707877102</v>
      </c>
      <c r="Q269">
        <v>1.4768495256204881</v>
      </c>
      <c r="R269" s="3">
        <v>47.896660608826402</v>
      </c>
      <c r="S269">
        <v>33.097755115270331</v>
      </c>
      <c r="T269" s="3">
        <f t="shared" si="12"/>
        <v>33.097755115270331</v>
      </c>
      <c r="U269">
        <f t="shared" si="11"/>
        <v>6.6501084073932297</v>
      </c>
    </row>
    <row r="270" spans="1:21" hidden="1" x14ac:dyDescent="0.25">
      <c r="A270" t="s">
        <v>99</v>
      </c>
      <c r="B270">
        <v>8</v>
      </c>
      <c r="C270">
        <v>8</v>
      </c>
      <c r="D270">
        <v>1</v>
      </c>
      <c r="E270">
        <v>6</v>
      </c>
      <c r="F270">
        <v>6</v>
      </c>
      <c r="G270">
        <v>21</v>
      </c>
      <c r="H270" t="s">
        <v>431</v>
      </c>
      <c r="I270" t="s">
        <v>432</v>
      </c>
      <c r="J270" t="s">
        <v>383</v>
      </c>
      <c r="K270" t="s">
        <v>433</v>
      </c>
      <c r="L270">
        <v>2025</v>
      </c>
      <c r="M270" t="s">
        <v>24</v>
      </c>
      <c r="N270">
        <v>1401.62</v>
      </c>
      <c r="O270">
        <v>16.8</v>
      </c>
      <c r="P270" s="3">
        <v>22.7844131135911</v>
      </c>
      <c r="Q270">
        <v>2.0120287707742679</v>
      </c>
      <c r="R270" s="3">
        <v>41.6572764857371</v>
      </c>
      <c r="S270">
        <v>32.78413370341783</v>
      </c>
      <c r="T270" s="3">
        <f t="shared" si="12"/>
        <v>32.78413370341783</v>
      </c>
      <c r="U270">
        <f t="shared" si="11"/>
        <v>9.9997205898267296</v>
      </c>
    </row>
    <row r="271" spans="1:21" hidden="1" x14ac:dyDescent="0.25">
      <c r="A271" t="s">
        <v>110</v>
      </c>
      <c r="B271">
        <v>0</v>
      </c>
      <c r="C271">
        <v>27</v>
      </c>
      <c r="D271">
        <v>1</v>
      </c>
      <c r="E271">
        <v>7</v>
      </c>
      <c r="F271">
        <v>7</v>
      </c>
      <c r="G271">
        <v>20</v>
      </c>
      <c r="H271" t="s">
        <v>438</v>
      </c>
      <c r="I271" t="s">
        <v>439</v>
      </c>
      <c r="J271" t="s">
        <v>383</v>
      </c>
      <c r="K271" t="s">
        <v>440</v>
      </c>
      <c r="L271">
        <v>2025</v>
      </c>
      <c r="M271" t="s">
        <v>24</v>
      </c>
      <c r="N271">
        <v>1410.7</v>
      </c>
      <c r="O271">
        <v>16.399999999999999</v>
      </c>
      <c r="P271" s="3">
        <v>23.042265584722699</v>
      </c>
      <c r="R271" s="3">
        <v>42.15</v>
      </c>
      <c r="S271">
        <v>32.767577678488188</v>
      </c>
      <c r="T271" s="3">
        <f t="shared" si="12"/>
        <v>32.767577678488188</v>
      </c>
      <c r="U271">
        <f t="shared" si="11"/>
        <v>9.7253120937654884</v>
      </c>
    </row>
    <row r="272" spans="1:21" hidden="1" x14ac:dyDescent="0.25">
      <c r="A272" t="s">
        <v>159</v>
      </c>
      <c r="B272">
        <v>6</v>
      </c>
      <c r="C272">
        <v>17</v>
      </c>
      <c r="D272">
        <v>2</v>
      </c>
      <c r="E272">
        <v>2</v>
      </c>
      <c r="F272">
        <v>10</v>
      </c>
      <c r="G272">
        <v>21</v>
      </c>
      <c r="H272" t="s">
        <v>427</v>
      </c>
      <c r="I272" t="s">
        <v>392</v>
      </c>
      <c r="J272" t="s">
        <v>383</v>
      </c>
      <c r="K272" t="s">
        <v>428</v>
      </c>
      <c r="L272">
        <v>2025</v>
      </c>
      <c r="M272" t="s">
        <v>24</v>
      </c>
      <c r="N272">
        <v>1315.44</v>
      </c>
      <c r="O272">
        <v>15.6</v>
      </c>
      <c r="P272" s="3">
        <v>21.691906540687</v>
      </c>
      <c r="Q272">
        <v>1.4672889626138359</v>
      </c>
      <c r="R272" s="3">
        <v>39.7937516646791</v>
      </c>
      <c r="S272">
        <v>32.673794846110184</v>
      </c>
      <c r="T272" s="3">
        <f t="shared" si="12"/>
        <v>32.673794846110184</v>
      </c>
      <c r="U272">
        <f t="shared" si="11"/>
        <v>10.981888305423183</v>
      </c>
    </row>
    <row r="273" spans="1:22" hidden="1" x14ac:dyDescent="0.25">
      <c r="A273" t="s">
        <v>83</v>
      </c>
      <c r="B273">
        <v>7</v>
      </c>
      <c r="C273">
        <v>21</v>
      </c>
      <c r="D273">
        <v>1</v>
      </c>
      <c r="E273">
        <v>5</v>
      </c>
      <c r="F273">
        <v>5</v>
      </c>
      <c r="G273">
        <v>21</v>
      </c>
      <c r="H273" t="s">
        <v>422</v>
      </c>
      <c r="I273" t="s">
        <v>382</v>
      </c>
      <c r="J273" t="s">
        <v>383</v>
      </c>
      <c r="K273" t="s">
        <v>423</v>
      </c>
      <c r="L273">
        <v>2025</v>
      </c>
      <c r="M273" t="s">
        <v>24</v>
      </c>
      <c r="N273">
        <v>1673.78</v>
      </c>
      <c r="O273">
        <v>16.100000000000001</v>
      </c>
      <c r="P273" s="3">
        <v>27.437501997416199</v>
      </c>
      <c r="Q273">
        <v>1.7154576078717569</v>
      </c>
      <c r="R273" s="3">
        <v>50.465014145370802</v>
      </c>
      <c r="S273">
        <v>32.588990562603193</v>
      </c>
      <c r="T273" s="3">
        <f t="shared" si="12"/>
        <v>32.588990562603193</v>
      </c>
      <c r="U273">
        <f t="shared" si="11"/>
        <v>5.1514885651869946</v>
      </c>
    </row>
    <row r="274" spans="1:22" hidden="1" x14ac:dyDescent="0.25">
      <c r="A274" t="s">
        <v>162</v>
      </c>
      <c r="B274">
        <v>1</v>
      </c>
      <c r="C274">
        <v>22</v>
      </c>
      <c r="D274">
        <v>2</v>
      </c>
      <c r="E274">
        <v>3</v>
      </c>
      <c r="F274">
        <v>11</v>
      </c>
      <c r="G274">
        <v>20</v>
      </c>
      <c r="H274" t="s">
        <v>424</v>
      </c>
      <c r="I274" t="s">
        <v>425</v>
      </c>
      <c r="J274" t="s">
        <v>383</v>
      </c>
      <c r="K274" t="s">
        <v>426</v>
      </c>
      <c r="L274">
        <v>2025</v>
      </c>
      <c r="M274" t="s">
        <v>24</v>
      </c>
      <c r="N274">
        <v>1134</v>
      </c>
      <c r="O274">
        <v>16.2</v>
      </c>
      <c r="P274" s="3">
        <v>18.566981615762099</v>
      </c>
      <c r="Q274">
        <v>0.28274324367489762</v>
      </c>
      <c r="R274" s="3">
        <v>35.043420000592199</v>
      </c>
      <c r="S274">
        <v>31.757884305526503</v>
      </c>
      <c r="T274" s="3">
        <f t="shared" si="12"/>
        <v>31.757884305526503</v>
      </c>
      <c r="U274">
        <f t="shared" si="11"/>
        <v>13.190902689764403</v>
      </c>
    </row>
    <row r="275" spans="1:22" hidden="1" x14ac:dyDescent="0.25">
      <c r="A275" t="s">
        <v>211</v>
      </c>
      <c r="B275">
        <v>2</v>
      </c>
      <c r="C275">
        <v>14</v>
      </c>
      <c r="D275">
        <v>3</v>
      </c>
      <c r="E275">
        <v>6</v>
      </c>
      <c r="F275">
        <v>22</v>
      </c>
      <c r="G275">
        <v>21</v>
      </c>
      <c r="H275" t="s">
        <v>396</v>
      </c>
      <c r="I275" t="s">
        <v>392</v>
      </c>
      <c r="J275" t="s">
        <v>383</v>
      </c>
      <c r="K275" t="s">
        <v>397</v>
      </c>
      <c r="L275">
        <v>2025</v>
      </c>
      <c r="M275" t="s">
        <v>24</v>
      </c>
      <c r="N275">
        <v>893.59</v>
      </c>
      <c r="O275">
        <v>14.9</v>
      </c>
      <c r="P275" s="3">
        <v>14.8577174235146</v>
      </c>
      <c r="Q275">
        <v>0.56548648559429371</v>
      </c>
      <c r="R275" s="3">
        <v>48.086839982288403</v>
      </c>
      <c r="S275">
        <v>18.520068748403652</v>
      </c>
      <c r="T275" s="3">
        <f t="shared" si="12"/>
        <v>18.520068748403652</v>
      </c>
      <c r="U275">
        <f t="shared" si="11"/>
        <v>3.6623513248890518</v>
      </c>
    </row>
    <row r="276" spans="1:22" hidden="1" x14ac:dyDescent="0.25">
      <c r="A276" t="s">
        <v>182</v>
      </c>
      <c r="B276">
        <v>7</v>
      </c>
      <c r="C276">
        <v>12</v>
      </c>
      <c r="D276">
        <v>2</v>
      </c>
      <c r="E276">
        <v>8</v>
      </c>
      <c r="F276">
        <v>16</v>
      </c>
      <c r="G276">
        <v>19</v>
      </c>
      <c r="H276" t="s">
        <v>443</v>
      </c>
      <c r="I276" t="s">
        <v>444</v>
      </c>
      <c r="J276" t="s">
        <v>383</v>
      </c>
      <c r="K276" t="s">
        <v>445</v>
      </c>
      <c r="L276">
        <v>2025</v>
      </c>
      <c r="M276" t="s">
        <v>24</v>
      </c>
      <c r="N276">
        <v>1224.72</v>
      </c>
      <c r="O276">
        <v>16.7</v>
      </c>
      <c r="P276" s="3">
        <v>19.932696110744899</v>
      </c>
      <c r="Q276">
        <v>1.48515392695255</v>
      </c>
      <c r="R276" s="3">
        <v>47.986048354324602</v>
      </c>
      <c r="S276">
        <v>24.898191158730285</v>
      </c>
      <c r="T276" s="3">
        <f t="shared" si="12"/>
        <v>24.898191158730285</v>
      </c>
      <c r="U276">
        <f t="shared" si="11"/>
        <v>4.9654950479853852</v>
      </c>
    </row>
    <row r="277" spans="1:22" hidden="1" x14ac:dyDescent="0.25">
      <c r="A277" t="s">
        <v>122</v>
      </c>
      <c r="B277">
        <v>0</v>
      </c>
      <c r="C277">
        <v>4</v>
      </c>
      <c r="D277">
        <v>1</v>
      </c>
      <c r="E277">
        <v>8</v>
      </c>
      <c r="F277">
        <v>8</v>
      </c>
      <c r="G277">
        <v>19</v>
      </c>
      <c r="H277" t="s">
        <v>446</v>
      </c>
      <c r="I277" t="s">
        <v>386</v>
      </c>
      <c r="J277" t="s">
        <v>383</v>
      </c>
      <c r="K277" t="s">
        <v>447</v>
      </c>
      <c r="L277">
        <v>2025</v>
      </c>
      <c r="M277" t="s">
        <v>24</v>
      </c>
      <c r="N277">
        <v>1437.91</v>
      </c>
      <c r="O277">
        <v>15.5</v>
      </c>
      <c r="P277" s="3">
        <v>23.7395590115215</v>
      </c>
      <c r="R277" s="3">
        <v>45.32</v>
      </c>
      <c r="S277">
        <v>31.397819222210945</v>
      </c>
      <c r="T277" s="3">
        <f t="shared" si="12"/>
        <v>31.397819222210945</v>
      </c>
      <c r="U277">
        <f t="shared" si="11"/>
        <v>7.6582602106894448</v>
      </c>
    </row>
    <row r="278" spans="1:22" hidden="1" x14ac:dyDescent="0.25">
      <c r="A278" t="s">
        <v>204</v>
      </c>
      <c r="B278">
        <v>3</v>
      </c>
      <c r="C278">
        <v>6</v>
      </c>
      <c r="D278">
        <v>3</v>
      </c>
      <c r="E278">
        <v>4</v>
      </c>
      <c r="F278">
        <v>20</v>
      </c>
      <c r="G278">
        <v>22</v>
      </c>
      <c r="H278" t="s">
        <v>448</v>
      </c>
      <c r="I278" t="s">
        <v>389</v>
      </c>
      <c r="J278" t="s">
        <v>383</v>
      </c>
      <c r="K278" t="s">
        <v>449</v>
      </c>
      <c r="L278">
        <v>2025</v>
      </c>
      <c r="M278" t="s">
        <v>24</v>
      </c>
      <c r="N278">
        <v>1242.8599999999999</v>
      </c>
      <c r="O278">
        <v>15.3</v>
      </c>
      <c r="P278" s="3">
        <v>20.567895424783401</v>
      </c>
      <c r="Q278">
        <v>0.71080136011611672</v>
      </c>
      <c r="R278" s="3">
        <v>39.6509947601539</v>
      </c>
      <c r="S278">
        <v>31.092275470486392</v>
      </c>
      <c r="T278" s="3">
        <f t="shared" si="12"/>
        <v>31.092275470486392</v>
      </c>
      <c r="U278">
        <f t="shared" si="11"/>
        <v>10.524380045702991</v>
      </c>
    </row>
    <row r="279" spans="1:22" hidden="1" x14ac:dyDescent="0.25">
      <c r="A279" t="s">
        <v>87</v>
      </c>
      <c r="B279">
        <v>2</v>
      </c>
      <c r="C279">
        <v>22</v>
      </c>
      <c r="D279">
        <v>1</v>
      </c>
      <c r="E279">
        <v>5</v>
      </c>
      <c r="F279">
        <v>5</v>
      </c>
      <c r="G279">
        <v>22</v>
      </c>
      <c r="H279" t="s">
        <v>424</v>
      </c>
      <c r="I279" t="s">
        <v>425</v>
      </c>
      <c r="J279" t="s">
        <v>383</v>
      </c>
      <c r="K279" t="s">
        <v>426</v>
      </c>
      <c r="L279">
        <v>2025</v>
      </c>
      <c r="M279" t="s">
        <v>24</v>
      </c>
      <c r="N279">
        <v>1478.74</v>
      </c>
      <c r="O279">
        <v>15.4</v>
      </c>
      <c r="P279" s="3">
        <v>24.4425446933577</v>
      </c>
      <c r="Q279">
        <v>0.49859867749768688</v>
      </c>
      <c r="R279" s="3">
        <v>47.366866304717348</v>
      </c>
      <c r="S279">
        <v>30.9306112736014</v>
      </c>
      <c r="T279" s="3">
        <f t="shared" si="12"/>
        <v>30.9306112736014</v>
      </c>
      <c r="U279">
        <f t="shared" si="11"/>
        <v>6.4880665802437001</v>
      </c>
      <c r="V279" s="3"/>
    </row>
    <row r="280" spans="1:22" hidden="1" x14ac:dyDescent="0.25">
      <c r="A280" t="s">
        <v>164</v>
      </c>
      <c r="B280">
        <v>5</v>
      </c>
      <c r="C280">
        <v>14</v>
      </c>
      <c r="D280">
        <v>2</v>
      </c>
      <c r="E280">
        <v>3</v>
      </c>
      <c r="F280">
        <v>11</v>
      </c>
      <c r="G280">
        <v>22</v>
      </c>
      <c r="H280" t="s">
        <v>396</v>
      </c>
      <c r="I280" t="s">
        <v>392</v>
      </c>
      <c r="J280" t="s">
        <v>383</v>
      </c>
      <c r="K280" t="s">
        <v>397</v>
      </c>
      <c r="L280">
        <v>2025</v>
      </c>
      <c r="M280" t="s">
        <v>24</v>
      </c>
      <c r="N280">
        <v>1378.94</v>
      </c>
      <c r="O280">
        <v>15.5</v>
      </c>
      <c r="P280" s="3">
        <v>22.765978053805501</v>
      </c>
      <c r="Q280">
        <v>1.1578213646104401</v>
      </c>
      <c r="R280" s="3">
        <v>44.462673386530298</v>
      </c>
      <c r="S280">
        <v>30.690748455051239</v>
      </c>
      <c r="T280" s="3">
        <f t="shared" si="12"/>
        <v>30.690748455051239</v>
      </c>
      <c r="U280">
        <f t="shared" si="11"/>
        <v>7.9247704012457376</v>
      </c>
    </row>
    <row r="281" spans="1:22" hidden="1" x14ac:dyDescent="0.25">
      <c r="A281" t="s">
        <v>165</v>
      </c>
      <c r="B281">
        <v>6</v>
      </c>
      <c r="C281">
        <v>9</v>
      </c>
      <c r="D281">
        <v>2</v>
      </c>
      <c r="E281">
        <v>4</v>
      </c>
      <c r="F281">
        <v>12</v>
      </c>
      <c r="G281">
        <v>19</v>
      </c>
      <c r="H281" t="s">
        <v>416</v>
      </c>
      <c r="I281" t="s">
        <v>417</v>
      </c>
      <c r="J281" t="s">
        <v>383</v>
      </c>
      <c r="K281" t="s">
        <v>418</v>
      </c>
      <c r="L281">
        <v>2025</v>
      </c>
      <c r="M281" t="s">
        <v>24</v>
      </c>
      <c r="N281">
        <v>1415.23</v>
      </c>
      <c r="O281">
        <v>16.399999999999999</v>
      </c>
      <c r="P281" s="3">
        <v>23.1162582572248</v>
      </c>
      <c r="Q281">
        <v>0.78529726042474646</v>
      </c>
      <c r="R281" s="3">
        <v>45.4528611814859</v>
      </c>
      <c r="S281">
        <v>30.48407699584909</v>
      </c>
      <c r="T281" s="3">
        <f t="shared" si="12"/>
        <v>30.48407699584909</v>
      </c>
      <c r="U281">
        <f t="shared" si="11"/>
        <v>7.3678187386242904</v>
      </c>
    </row>
    <row r="282" spans="1:22" hidden="1" x14ac:dyDescent="0.25">
      <c r="A282" t="s">
        <v>158</v>
      </c>
      <c r="B282">
        <v>4</v>
      </c>
      <c r="C282">
        <v>7</v>
      </c>
      <c r="D282">
        <v>2</v>
      </c>
      <c r="E282">
        <v>2</v>
      </c>
      <c r="F282">
        <v>10</v>
      </c>
      <c r="G282">
        <v>20</v>
      </c>
      <c r="H282" t="s">
        <v>388</v>
      </c>
      <c r="I282" t="s">
        <v>389</v>
      </c>
      <c r="J282" t="s">
        <v>383</v>
      </c>
      <c r="K282" t="s">
        <v>390</v>
      </c>
      <c r="L282">
        <v>2025</v>
      </c>
      <c r="M282" t="s">
        <v>24</v>
      </c>
      <c r="N282">
        <v>1265.54</v>
      </c>
      <c r="O282">
        <v>16</v>
      </c>
      <c r="P282" s="3">
        <v>20.770138702388</v>
      </c>
      <c r="Q282">
        <v>0.83811081676365451</v>
      </c>
      <c r="R282" s="3">
        <v>41.021341020562303</v>
      </c>
      <c r="S282">
        <v>30.349132496597075</v>
      </c>
      <c r="T282" s="3">
        <f t="shared" si="12"/>
        <v>30.349132496597075</v>
      </c>
      <c r="U282">
        <f t="shared" si="11"/>
        <v>9.5789937942090759</v>
      </c>
    </row>
    <row r="283" spans="1:22" hidden="1" x14ac:dyDescent="0.25">
      <c r="A283" t="s">
        <v>305</v>
      </c>
      <c r="B283">
        <v>15</v>
      </c>
      <c r="C283">
        <v>28</v>
      </c>
      <c r="D283">
        <v>1</v>
      </c>
      <c r="E283">
        <v>4</v>
      </c>
      <c r="F283">
        <v>4</v>
      </c>
      <c r="G283">
        <v>22</v>
      </c>
      <c r="H283" t="s">
        <v>115</v>
      </c>
      <c r="I283" t="s">
        <v>116</v>
      </c>
      <c r="J283" t="s">
        <v>383</v>
      </c>
      <c r="K283" t="s">
        <v>117</v>
      </c>
      <c r="L283">
        <v>2025</v>
      </c>
      <c r="M283" t="s">
        <v>24</v>
      </c>
      <c r="N283">
        <v>1814.4</v>
      </c>
      <c r="O283">
        <v>15.6</v>
      </c>
      <c r="P283" s="3">
        <v>29.9198710906028</v>
      </c>
      <c r="Q283">
        <v>2.5624309570276989</v>
      </c>
      <c r="R283" s="3">
        <v>59.581750578350501</v>
      </c>
      <c r="S283">
        <v>30.099771419310677</v>
      </c>
      <c r="T283" s="3">
        <f t="shared" si="12"/>
        <v>30.099771419310677</v>
      </c>
      <c r="U283">
        <f t="shared" si="11"/>
        <v>0.17990032870787687</v>
      </c>
    </row>
    <row r="284" spans="1:22" hidden="1" x14ac:dyDescent="0.25">
      <c r="A284" t="s">
        <v>185</v>
      </c>
      <c r="B284">
        <v>5</v>
      </c>
      <c r="C284">
        <v>6</v>
      </c>
      <c r="D284">
        <v>2</v>
      </c>
      <c r="E284">
        <v>8</v>
      </c>
      <c r="F284">
        <v>16</v>
      </c>
      <c r="G284">
        <v>22</v>
      </c>
      <c r="H284" t="s">
        <v>448</v>
      </c>
      <c r="I284" t="s">
        <v>389</v>
      </c>
      <c r="J284" t="s">
        <v>383</v>
      </c>
      <c r="K284" t="s">
        <v>449</v>
      </c>
      <c r="L284">
        <v>2025</v>
      </c>
      <c r="M284" t="s">
        <v>24</v>
      </c>
      <c r="N284">
        <v>1038.74</v>
      </c>
      <c r="O284">
        <v>15.3</v>
      </c>
      <c r="P284" s="3">
        <v>17.1899455236628</v>
      </c>
      <c r="Q284">
        <v>1.145555896301663</v>
      </c>
      <c r="R284" s="3">
        <v>34.330649112201471</v>
      </c>
      <c r="S284">
        <v>30.012987267466038</v>
      </c>
      <c r="T284" s="3">
        <f t="shared" si="12"/>
        <v>30.012987267466038</v>
      </c>
      <c r="U284">
        <f t="shared" si="11"/>
        <v>12.823041743803238</v>
      </c>
    </row>
    <row r="285" spans="1:22" hidden="1" x14ac:dyDescent="0.25">
      <c r="A285" t="s">
        <v>180</v>
      </c>
      <c r="B285">
        <v>8</v>
      </c>
      <c r="C285">
        <v>10</v>
      </c>
      <c r="D285">
        <v>2</v>
      </c>
      <c r="E285">
        <v>7</v>
      </c>
      <c r="F285">
        <v>15</v>
      </c>
      <c r="G285">
        <v>20</v>
      </c>
      <c r="H285" t="s">
        <v>434</v>
      </c>
      <c r="I285" t="s">
        <v>417</v>
      </c>
      <c r="J285" t="s">
        <v>383</v>
      </c>
      <c r="K285" t="s">
        <v>435</v>
      </c>
      <c r="L285">
        <v>2025</v>
      </c>
      <c r="M285" t="s">
        <v>24</v>
      </c>
      <c r="N285">
        <v>1115.8599999999999</v>
      </c>
      <c r="O285">
        <v>16.3</v>
      </c>
      <c r="P285" s="3">
        <v>18.248173521954001</v>
      </c>
      <c r="Q285">
        <v>1.4433376555394331</v>
      </c>
      <c r="R285" s="3">
        <v>37.535942190460901</v>
      </c>
      <c r="S285">
        <v>29.139951126200639</v>
      </c>
      <c r="T285" s="3">
        <f t="shared" si="12"/>
        <v>29.139951126200639</v>
      </c>
      <c r="U285">
        <f t="shared" si="11"/>
        <v>10.891777604246638</v>
      </c>
    </row>
    <row r="286" spans="1:22" hidden="1" x14ac:dyDescent="0.25">
      <c r="A286" t="s">
        <v>95</v>
      </c>
      <c r="B286">
        <v>3</v>
      </c>
      <c r="C286">
        <v>19</v>
      </c>
      <c r="D286">
        <v>1</v>
      </c>
      <c r="E286">
        <v>6</v>
      </c>
      <c r="F286">
        <v>6</v>
      </c>
      <c r="G286">
        <v>20</v>
      </c>
      <c r="H286" t="s">
        <v>429</v>
      </c>
      <c r="I286" t="s">
        <v>414</v>
      </c>
      <c r="J286" t="s">
        <v>383</v>
      </c>
      <c r="K286" t="s">
        <v>430</v>
      </c>
      <c r="L286">
        <v>2025</v>
      </c>
      <c r="M286" t="s">
        <v>24</v>
      </c>
      <c r="N286">
        <v>1374.41</v>
      </c>
      <c r="O286">
        <v>16</v>
      </c>
      <c r="P286" s="3">
        <v>22.556921420065098</v>
      </c>
      <c r="Q286">
        <v>0.6089728752274276</v>
      </c>
      <c r="R286" s="3">
        <v>46.554923131660502</v>
      </c>
      <c r="S286">
        <v>29.042296259301647</v>
      </c>
      <c r="T286" s="3">
        <f t="shared" si="12"/>
        <v>29.042296259301647</v>
      </c>
      <c r="U286">
        <f t="shared" si="11"/>
        <v>6.4853748392365489</v>
      </c>
    </row>
    <row r="287" spans="1:22" hidden="1" x14ac:dyDescent="0.25">
      <c r="A287" t="s">
        <v>106</v>
      </c>
      <c r="B287">
        <v>3</v>
      </c>
      <c r="C287">
        <v>31</v>
      </c>
      <c r="D287">
        <v>1</v>
      </c>
      <c r="E287">
        <v>7</v>
      </c>
      <c r="F287">
        <v>7</v>
      </c>
      <c r="G287">
        <v>19</v>
      </c>
      <c r="H287" t="s">
        <v>436</v>
      </c>
      <c r="I287" t="s">
        <v>437</v>
      </c>
      <c r="J287" t="s">
        <v>383</v>
      </c>
      <c r="K287" t="s">
        <v>400</v>
      </c>
      <c r="L287">
        <v>2025</v>
      </c>
      <c r="M287" t="s">
        <v>24</v>
      </c>
      <c r="N287">
        <v>1192.97</v>
      </c>
      <c r="O287">
        <v>17</v>
      </c>
      <c r="P287" s="3">
        <v>19.346029650117298</v>
      </c>
      <c r="Q287">
        <v>0.77013978931798011</v>
      </c>
      <c r="R287" s="3">
        <v>40.2897076782398</v>
      </c>
      <c r="S287">
        <v>28.781569389601756</v>
      </c>
      <c r="T287" s="3">
        <f t="shared" si="12"/>
        <v>28.781569389601756</v>
      </c>
      <c r="U287">
        <f t="shared" si="11"/>
        <v>9.435539739484458</v>
      </c>
    </row>
    <row r="288" spans="1:22" hidden="1" x14ac:dyDescent="0.25">
      <c r="A288" t="s">
        <v>154</v>
      </c>
      <c r="B288">
        <v>7</v>
      </c>
      <c r="C288">
        <v>19</v>
      </c>
      <c r="D288">
        <v>2</v>
      </c>
      <c r="E288">
        <v>1</v>
      </c>
      <c r="F288">
        <v>9</v>
      </c>
      <c r="G288">
        <v>20</v>
      </c>
      <c r="H288" t="s">
        <v>429</v>
      </c>
      <c r="I288" t="s">
        <v>414</v>
      </c>
      <c r="J288" t="s">
        <v>383</v>
      </c>
      <c r="K288" t="s">
        <v>430</v>
      </c>
      <c r="L288">
        <v>2025</v>
      </c>
      <c r="M288" t="s">
        <v>24</v>
      </c>
      <c r="N288">
        <v>1329.05</v>
      </c>
      <c r="O288">
        <v>16.2</v>
      </c>
      <c r="P288" s="3">
        <v>21.7605351996725</v>
      </c>
      <c r="Q288">
        <v>1.2423588547604101</v>
      </c>
      <c r="R288" s="3">
        <v>45.372626476755599</v>
      </c>
      <c r="S288">
        <v>28.746990887480944</v>
      </c>
      <c r="T288" s="3">
        <f t="shared" si="12"/>
        <v>28.746990887480944</v>
      </c>
      <c r="U288">
        <f t="shared" si="11"/>
        <v>6.9864556878084443</v>
      </c>
    </row>
    <row r="289" spans="1:21" hidden="1" x14ac:dyDescent="0.25">
      <c r="A289" t="s">
        <v>202</v>
      </c>
      <c r="B289">
        <v>3</v>
      </c>
      <c r="C289">
        <v>19</v>
      </c>
      <c r="D289">
        <v>3</v>
      </c>
      <c r="E289">
        <v>4</v>
      </c>
      <c r="F289">
        <v>20</v>
      </c>
      <c r="G289">
        <v>20</v>
      </c>
      <c r="H289" t="s">
        <v>429</v>
      </c>
      <c r="I289" t="s">
        <v>414</v>
      </c>
      <c r="J289" t="s">
        <v>383</v>
      </c>
      <c r="K289" t="s">
        <v>430</v>
      </c>
      <c r="L289">
        <v>2025</v>
      </c>
      <c r="M289" t="s">
        <v>24</v>
      </c>
      <c r="N289">
        <v>1161.22</v>
      </c>
      <c r="O289">
        <v>15.6</v>
      </c>
      <c r="P289" s="3">
        <v>19.148783458900901</v>
      </c>
      <c r="Q289">
        <v>0.77157605872994484</v>
      </c>
      <c r="R289" s="3">
        <v>50.305167538563303</v>
      </c>
      <c r="S289">
        <v>22.816305693578052</v>
      </c>
      <c r="T289" s="3">
        <f t="shared" si="12"/>
        <v>22.816305693578052</v>
      </c>
      <c r="U289">
        <f t="shared" si="11"/>
        <v>3.6675222346771505</v>
      </c>
    </row>
    <row r="290" spans="1:21" hidden="1" x14ac:dyDescent="0.25">
      <c r="A290" t="s">
        <v>190</v>
      </c>
      <c r="B290">
        <v>9</v>
      </c>
      <c r="C290">
        <v>4</v>
      </c>
      <c r="D290">
        <v>3</v>
      </c>
      <c r="E290">
        <v>1</v>
      </c>
      <c r="F290">
        <v>17</v>
      </c>
      <c r="G290">
        <v>19</v>
      </c>
      <c r="H290" t="s">
        <v>446</v>
      </c>
      <c r="I290" t="s">
        <v>386</v>
      </c>
      <c r="J290" t="s">
        <v>383</v>
      </c>
      <c r="K290" t="s">
        <v>447</v>
      </c>
      <c r="L290">
        <v>2025</v>
      </c>
      <c r="M290" t="s">
        <v>24</v>
      </c>
      <c r="N290">
        <v>1261.01</v>
      </c>
      <c r="O290">
        <v>16.399999999999999</v>
      </c>
      <c r="P290" s="3">
        <v>20.5972406074935</v>
      </c>
      <c r="Q290">
        <v>2.027202167774397</v>
      </c>
      <c r="R290" s="3">
        <v>43.820601413706825</v>
      </c>
      <c r="S290">
        <v>28.173931032059905</v>
      </c>
      <c r="T290" s="3">
        <f t="shared" si="12"/>
        <v>28.173931032059905</v>
      </c>
      <c r="U290">
        <f t="shared" si="11"/>
        <v>7.5766904245664044</v>
      </c>
    </row>
    <row r="291" spans="1:21" hidden="1" x14ac:dyDescent="0.25">
      <c r="A291" t="s">
        <v>199</v>
      </c>
      <c r="B291">
        <v>0</v>
      </c>
      <c r="C291">
        <v>20</v>
      </c>
      <c r="D291">
        <v>3</v>
      </c>
      <c r="E291">
        <v>3</v>
      </c>
      <c r="F291">
        <v>19</v>
      </c>
      <c r="G291">
        <v>21</v>
      </c>
      <c r="H291" t="s">
        <v>381</v>
      </c>
      <c r="I291" t="s">
        <v>382</v>
      </c>
      <c r="J291" t="s">
        <v>383</v>
      </c>
      <c r="K291" t="s">
        <v>384</v>
      </c>
      <c r="L291">
        <v>2025</v>
      </c>
      <c r="M291" t="s">
        <v>24</v>
      </c>
      <c r="N291">
        <v>1306.3699999999999</v>
      </c>
      <c r="O291">
        <v>16.399999999999999</v>
      </c>
      <c r="P291" s="3">
        <v>21.338147367912502</v>
      </c>
      <c r="R291" s="3">
        <v>45.78</v>
      </c>
      <c r="S291">
        <v>27.938151009888045</v>
      </c>
      <c r="T291" s="3">
        <f t="shared" si="12"/>
        <v>27.938151009888045</v>
      </c>
      <c r="U291">
        <f t="shared" si="11"/>
        <v>6.6000036419755439</v>
      </c>
    </row>
    <row r="292" spans="1:21" hidden="1" x14ac:dyDescent="0.25">
      <c r="A292" t="s">
        <v>161</v>
      </c>
      <c r="B292">
        <v>0</v>
      </c>
      <c r="C292">
        <v>20</v>
      </c>
      <c r="D292">
        <v>2</v>
      </c>
      <c r="E292">
        <v>3</v>
      </c>
      <c r="F292">
        <v>11</v>
      </c>
      <c r="G292">
        <v>19</v>
      </c>
      <c r="H292" t="s">
        <v>381</v>
      </c>
      <c r="I292" t="s">
        <v>382</v>
      </c>
      <c r="J292" t="s">
        <v>383</v>
      </c>
      <c r="K292" t="s">
        <v>384</v>
      </c>
      <c r="L292">
        <v>2025</v>
      </c>
      <c r="M292" t="s">
        <v>24</v>
      </c>
      <c r="N292">
        <v>1279.1500000000001</v>
      </c>
      <c r="O292">
        <v>15.7</v>
      </c>
      <c r="P292" s="3">
        <v>21.068483868111201</v>
      </c>
      <c r="R292" s="3">
        <v>45.23</v>
      </c>
      <c r="S292">
        <v>27.920515654534327</v>
      </c>
      <c r="T292" s="3">
        <f t="shared" si="12"/>
        <v>27.920515654534327</v>
      </c>
      <c r="U292">
        <f t="shared" si="11"/>
        <v>6.8520317864231259</v>
      </c>
    </row>
    <row r="293" spans="1:21" hidden="1" x14ac:dyDescent="0.25">
      <c r="A293" t="s">
        <v>212</v>
      </c>
      <c r="B293">
        <v>1</v>
      </c>
      <c r="C293">
        <v>23</v>
      </c>
      <c r="D293">
        <v>3</v>
      </c>
      <c r="E293">
        <v>6</v>
      </c>
      <c r="F293">
        <v>22</v>
      </c>
      <c r="G293">
        <v>22</v>
      </c>
      <c r="H293" t="s">
        <v>409</v>
      </c>
      <c r="I293" t="s">
        <v>405</v>
      </c>
      <c r="J293" t="s">
        <v>383</v>
      </c>
      <c r="K293" t="s">
        <v>410</v>
      </c>
      <c r="L293">
        <v>2025</v>
      </c>
      <c r="M293" t="s">
        <v>24</v>
      </c>
      <c r="N293">
        <v>975.24</v>
      </c>
      <c r="O293">
        <v>15.3</v>
      </c>
      <c r="P293" s="3">
        <v>16.139093972020799</v>
      </c>
      <c r="Q293">
        <v>0.24943436458848089</v>
      </c>
      <c r="R293" s="3">
        <v>34.684886556993902</v>
      </c>
      <c r="S293">
        <v>27.890455720342082</v>
      </c>
      <c r="T293" s="3">
        <f t="shared" si="12"/>
        <v>27.890455720342082</v>
      </c>
      <c r="U293">
        <f t="shared" ref="U293:U324" si="13">T293-P293</f>
        <v>11.751361748321283</v>
      </c>
    </row>
    <row r="294" spans="1:21" hidden="1" x14ac:dyDescent="0.25">
      <c r="A294" t="s">
        <v>177</v>
      </c>
      <c r="B294">
        <v>7</v>
      </c>
      <c r="C294">
        <v>15</v>
      </c>
      <c r="D294">
        <v>2</v>
      </c>
      <c r="E294">
        <v>6</v>
      </c>
      <c r="F294">
        <v>14</v>
      </c>
      <c r="G294">
        <v>21</v>
      </c>
      <c r="H294" t="s">
        <v>394</v>
      </c>
      <c r="I294" t="s">
        <v>392</v>
      </c>
      <c r="J294" t="s">
        <v>383</v>
      </c>
      <c r="K294" t="s">
        <v>395</v>
      </c>
      <c r="L294">
        <v>2025</v>
      </c>
      <c r="M294" t="s">
        <v>24</v>
      </c>
      <c r="N294">
        <v>1120.3900000000001</v>
      </c>
      <c r="O294">
        <v>15.3</v>
      </c>
      <c r="P294" s="3">
        <v>18.541158581797699</v>
      </c>
      <c r="Q294">
        <v>1.6815623678370171</v>
      </c>
      <c r="R294" s="3">
        <v>40.100169171160871</v>
      </c>
      <c r="S294">
        <v>27.714522615835168</v>
      </c>
      <c r="T294" s="3">
        <f t="shared" si="12"/>
        <v>27.714522615835168</v>
      </c>
      <c r="U294">
        <f t="shared" si="13"/>
        <v>9.1733640340374691</v>
      </c>
    </row>
    <row r="295" spans="1:21" hidden="1" x14ac:dyDescent="0.25">
      <c r="A295" t="s">
        <v>193</v>
      </c>
      <c r="B295">
        <v>15</v>
      </c>
      <c r="C295">
        <v>28</v>
      </c>
      <c r="D295">
        <v>3</v>
      </c>
      <c r="E295">
        <v>1</v>
      </c>
      <c r="F295">
        <v>17</v>
      </c>
      <c r="G295">
        <v>22</v>
      </c>
      <c r="H295" t="s">
        <v>115</v>
      </c>
      <c r="I295" t="s">
        <v>116</v>
      </c>
      <c r="J295" t="s">
        <v>383</v>
      </c>
      <c r="K295" t="s">
        <v>117</v>
      </c>
      <c r="L295">
        <v>2025</v>
      </c>
      <c r="M295" t="s">
        <v>24</v>
      </c>
      <c r="N295">
        <v>1283.69</v>
      </c>
      <c r="O295">
        <v>14.7</v>
      </c>
      <c r="P295" s="3">
        <v>21.394070540084499</v>
      </c>
      <c r="Q295">
        <v>2.2789600050670269</v>
      </c>
      <c r="R295" s="3">
        <v>46.530497598540968</v>
      </c>
      <c r="S295">
        <v>27.559571772404123</v>
      </c>
      <c r="T295" s="3">
        <f t="shared" si="12"/>
        <v>27.559571772404123</v>
      </c>
      <c r="U295">
        <f t="shared" si="13"/>
        <v>6.1655012323196239</v>
      </c>
    </row>
    <row r="296" spans="1:21" hidden="1" x14ac:dyDescent="0.25">
      <c r="A296" t="s">
        <v>205</v>
      </c>
      <c r="B296">
        <v>13</v>
      </c>
      <c r="C296">
        <v>5</v>
      </c>
      <c r="D296">
        <v>3</v>
      </c>
      <c r="E296">
        <v>5</v>
      </c>
      <c r="F296">
        <v>21</v>
      </c>
      <c r="G296">
        <v>19</v>
      </c>
      <c r="H296" t="s">
        <v>401</v>
      </c>
      <c r="I296" t="s">
        <v>402</v>
      </c>
      <c r="J296" t="s">
        <v>383</v>
      </c>
      <c r="K296" t="s">
        <v>403</v>
      </c>
      <c r="L296">
        <v>2025</v>
      </c>
      <c r="M296" t="s">
        <v>24</v>
      </c>
      <c r="N296">
        <v>1265.54</v>
      </c>
      <c r="O296">
        <v>16.2</v>
      </c>
      <c r="P296" s="3">
        <v>20.7206859911919</v>
      </c>
      <c r="Q296">
        <v>2.1539437595216002</v>
      </c>
      <c r="R296" s="3">
        <v>45.184835233114555</v>
      </c>
      <c r="S296">
        <v>27.487052058603471</v>
      </c>
      <c r="T296" s="3">
        <f t="shared" si="12"/>
        <v>27.487052058603471</v>
      </c>
      <c r="U296">
        <f t="shared" si="13"/>
        <v>6.7663660674115711</v>
      </c>
    </row>
    <row r="297" spans="1:21" hidden="1" x14ac:dyDescent="0.25">
      <c r="A297" t="s">
        <v>183</v>
      </c>
      <c r="B297">
        <v>11</v>
      </c>
      <c r="C297">
        <v>8</v>
      </c>
      <c r="D297">
        <v>2</v>
      </c>
      <c r="E297">
        <v>8</v>
      </c>
      <c r="F297">
        <v>16</v>
      </c>
      <c r="G297">
        <v>20</v>
      </c>
      <c r="H297" t="s">
        <v>431</v>
      </c>
      <c r="I297" t="s">
        <v>432</v>
      </c>
      <c r="J297" t="s">
        <v>383</v>
      </c>
      <c r="K297" t="s">
        <v>433</v>
      </c>
      <c r="L297">
        <v>2025</v>
      </c>
      <c r="M297" t="s">
        <v>24</v>
      </c>
      <c r="N297">
        <v>1356.26</v>
      </c>
      <c r="O297">
        <v>16.899999999999999</v>
      </c>
      <c r="P297" s="3">
        <v>22.020552501785598</v>
      </c>
      <c r="Q297">
        <v>2.4188702972623379</v>
      </c>
      <c r="R297" s="3">
        <v>48.036477992702075</v>
      </c>
      <c r="S297">
        <v>27.477283350322931</v>
      </c>
      <c r="T297" s="3">
        <f t="shared" si="12"/>
        <v>27.477283350322931</v>
      </c>
      <c r="U297">
        <f t="shared" si="13"/>
        <v>5.4567308485373331</v>
      </c>
    </row>
    <row r="298" spans="1:21" hidden="1" x14ac:dyDescent="0.25">
      <c r="A298" t="s">
        <v>210</v>
      </c>
      <c r="B298">
        <v>0</v>
      </c>
      <c r="C298">
        <v>21</v>
      </c>
      <c r="D298">
        <v>3</v>
      </c>
      <c r="E298">
        <v>6</v>
      </c>
      <c r="F298">
        <v>22</v>
      </c>
      <c r="G298">
        <v>20</v>
      </c>
      <c r="H298" t="s">
        <v>422</v>
      </c>
      <c r="I298" t="s">
        <v>382</v>
      </c>
      <c r="J298" t="s">
        <v>383</v>
      </c>
      <c r="K298" t="s">
        <v>423</v>
      </c>
      <c r="L298">
        <v>2025</v>
      </c>
      <c r="M298" t="s">
        <v>24</v>
      </c>
      <c r="N298">
        <v>1211.1099999999999</v>
      </c>
      <c r="O298">
        <v>16</v>
      </c>
      <c r="P298" s="3">
        <v>19.876829403929701</v>
      </c>
      <c r="Q298">
        <v>0.13973344503985491</v>
      </c>
      <c r="R298" s="3">
        <v>43.504076829064502</v>
      </c>
      <c r="S298">
        <v>27.386333449916457</v>
      </c>
      <c r="T298" s="3">
        <f t="shared" si="12"/>
        <v>27.386333449916457</v>
      </c>
      <c r="U298">
        <f t="shared" si="13"/>
        <v>7.5095040459867555</v>
      </c>
    </row>
    <row r="299" spans="1:21" hidden="1" x14ac:dyDescent="0.25">
      <c r="A299" t="s">
        <v>376</v>
      </c>
      <c r="B299">
        <v>6</v>
      </c>
      <c r="C299">
        <v>22</v>
      </c>
      <c r="D299">
        <v>3</v>
      </c>
      <c r="E299">
        <v>2</v>
      </c>
      <c r="F299">
        <v>18</v>
      </c>
      <c r="G299">
        <v>20</v>
      </c>
      <c r="H299" t="s">
        <v>424</v>
      </c>
      <c r="I299" t="s">
        <v>425</v>
      </c>
      <c r="J299" t="s">
        <v>383</v>
      </c>
      <c r="K299" t="s">
        <v>426</v>
      </c>
      <c r="L299">
        <v>2025</v>
      </c>
      <c r="M299" t="s">
        <v>24</v>
      </c>
      <c r="N299">
        <v>997.92</v>
      </c>
      <c r="O299">
        <v>15.9</v>
      </c>
      <c r="P299" s="3">
        <v>16.3974364608511</v>
      </c>
      <c r="Q299">
        <v>1.3042681165429579</v>
      </c>
      <c r="R299" s="3">
        <v>36.039011579656744</v>
      </c>
      <c r="S299">
        <v>27.272178075444756</v>
      </c>
      <c r="T299" s="3">
        <f t="shared" si="12"/>
        <v>27.272178075444756</v>
      </c>
      <c r="U299">
        <f t="shared" si="13"/>
        <v>10.874741614593656</v>
      </c>
    </row>
    <row r="300" spans="1:21" hidden="1" x14ac:dyDescent="0.25">
      <c r="A300" t="s">
        <v>72</v>
      </c>
      <c r="B300">
        <v>6</v>
      </c>
      <c r="C300">
        <v>9</v>
      </c>
      <c r="D300">
        <v>1</v>
      </c>
      <c r="E300">
        <v>4</v>
      </c>
      <c r="F300">
        <v>4</v>
      </c>
      <c r="G300">
        <v>21</v>
      </c>
      <c r="H300" t="s">
        <v>416</v>
      </c>
      <c r="I300" t="s">
        <v>417</v>
      </c>
      <c r="J300" t="s">
        <v>383</v>
      </c>
      <c r="K300" t="s">
        <v>418</v>
      </c>
      <c r="L300">
        <v>2025</v>
      </c>
      <c r="M300" t="s">
        <v>24</v>
      </c>
      <c r="N300">
        <v>1474.2</v>
      </c>
      <c r="O300">
        <v>16.100000000000001</v>
      </c>
      <c r="P300" s="3">
        <v>24.1658792939281</v>
      </c>
      <c r="Q300">
        <v>1.0405808254840609</v>
      </c>
      <c r="R300" s="3">
        <v>53.20070794742788</v>
      </c>
      <c r="S300">
        <v>27.227134013130744</v>
      </c>
      <c r="T300" s="3">
        <f t="shared" si="12"/>
        <v>27.227134013130744</v>
      </c>
      <c r="U300">
        <f t="shared" si="13"/>
        <v>3.061254719202644</v>
      </c>
    </row>
    <row r="301" spans="1:21" hidden="1" x14ac:dyDescent="0.25">
      <c r="A301" t="s">
        <v>207</v>
      </c>
      <c r="B301">
        <v>0</v>
      </c>
      <c r="C301">
        <v>3</v>
      </c>
      <c r="D301">
        <v>3</v>
      </c>
      <c r="E301">
        <v>5</v>
      </c>
      <c r="F301">
        <v>21</v>
      </c>
      <c r="G301">
        <v>21</v>
      </c>
      <c r="H301" t="s">
        <v>385</v>
      </c>
      <c r="I301" t="s">
        <v>386</v>
      </c>
      <c r="J301" t="s">
        <v>383</v>
      </c>
      <c r="K301" t="s">
        <v>387</v>
      </c>
      <c r="L301">
        <v>2025</v>
      </c>
      <c r="M301" t="s">
        <v>24</v>
      </c>
      <c r="N301">
        <v>1242.8599999999999</v>
      </c>
      <c r="O301">
        <v>15.3</v>
      </c>
      <c r="P301" s="3">
        <v>20.567895424783401</v>
      </c>
      <c r="R301" s="3">
        <v>45.45</v>
      </c>
      <c r="S301">
        <v>27.125184857239109</v>
      </c>
      <c r="T301" s="3">
        <f t="shared" si="12"/>
        <v>27.125184857239109</v>
      </c>
      <c r="U301">
        <f t="shared" si="13"/>
        <v>6.5572894324557076</v>
      </c>
    </row>
    <row r="302" spans="1:21" hidden="1" x14ac:dyDescent="0.25">
      <c r="A302" t="s">
        <v>179</v>
      </c>
      <c r="B302">
        <v>3</v>
      </c>
      <c r="C302">
        <v>27</v>
      </c>
      <c r="D302">
        <v>2</v>
      </c>
      <c r="E302">
        <v>7</v>
      </c>
      <c r="F302">
        <v>15</v>
      </c>
      <c r="G302">
        <v>19</v>
      </c>
      <c r="H302" t="s">
        <v>438</v>
      </c>
      <c r="I302" t="s">
        <v>439</v>
      </c>
      <c r="J302" t="s">
        <v>383</v>
      </c>
      <c r="K302" t="s">
        <v>440</v>
      </c>
      <c r="L302">
        <v>2025</v>
      </c>
      <c r="M302" t="s">
        <v>24</v>
      </c>
      <c r="N302">
        <v>1401.62</v>
      </c>
      <c r="O302">
        <v>16.2</v>
      </c>
      <c r="P302" s="3">
        <v>22.948723785083299</v>
      </c>
      <c r="Q302">
        <v>0.76294418421068022</v>
      </c>
      <c r="R302" s="3">
        <v>55.212254904425301</v>
      </c>
      <c r="S302">
        <v>24.913789629838917</v>
      </c>
      <c r="T302" s="3">
        <f t="shared" si="12"/>
        <v>24.913789629838917</v>
      </c>
      <c r="U302">
        <f t="shared" si="13"/>
        <v>1.9650658447556175</v>
      </c>
    </row>
    <row r="303" spans="1:21" hidden="1" x14ac:dyDescent="0.25">
      <c r="A303" t="s">
        <v>130</v>
      </c>
      <c r="B303">
        <v>11</v>
      </c>
      <c r="C303">
        <v>24</v>
      </c>
      <c r="D303">
        <v>1</v>
      </c>
      <c r="E303">
        <v>8</v>
      </c>
      <c r="F303">
        <v>8</v>
      </c>
      <c r="G303">
        <v>21</v>
      </c>
      <c r="H303" t="s">
        <v>450</v>
      </c>
      <c r="I303" t="s">
        <v>405</v>
      </c>
      <c r="J303" t="s">
        <v>383</v>
      </c>
      <c r="K303" t="s">
        <v>451</v>
      </c>
      <c r="L303">
        <v>2025</v>
      </c>
      <c r="M303" t="s">
        <v>24</v>
      </c>
      <c r="N303">
        <v>1211.1099999999999</v>
      </c>
      <c r="O303">
        <v>16.100000000000001</v>
      </c>
      <c r="P303" s="3">
        <v>19.853166511782099</v>
      </c>
      <c r="Q303">
        <v>2.085354343793421</v>
      </c>
      <c r="R303" s="3">
        <v>44.446545621157995</v>
      </c>
      <c r="S303">
        <v>26.773707249585296</v>
      </c>
      <c r="T303" s="3">
        <f t="shared" si="12"/>
        <v>26.773707249585296</v>
      </c>
      <c r="U303">
        <f t="shared" si="13"/>
        <v>6.9205407378031971</v>
      </c>
    </row>
    <row r="304" spans="1:21" hidden="1" x14ac:dyDescent="0.25">
      <c r="A304" t="s">
        <v>153</v>
      </c>
      <c r="B304">
        <v>8</v>
      </c>
      <c r="C304">
        <v>25</v>
      </c>
      <c r="D304">
        <v>2</v>
      </c>
      <c r="E304">
        <v>1</v>
      </c>
      <c r="F304">
        <v>9</v>
      </c>
      <c r="G304">
        <v>19</v>
      </c>
      <c r="H304" t="s">
        <v>404</v>
      </c>
      <c r="I304" t="s">
        <v>405</v>
      </c>
      <c r="J304" t="s">
        <v>383</v>
      </c>
      <c r="K304" t="s">
        <v>406</v>
      </c>
      <c r="L304">
        <v>2025</v>
      </c>
      <c r="M304" t="s">
        <v>24</v>
      </c>
      <c r="N304">
        <v>1034.21</v>
      </c>
      <c r="O304">
        <v>16.399999999999999</v>
      </c>
      <c r="P304" s="3">
        <v>16.892706805398799</v>
      </c>
      <c r="Q304">
        <v>1.4968096470231289</v>
      </c>
      <c r="R304" s="3">
        <v>38.111509359592262</v>
      </c>
      <c r="S304">
        <v>26.56805943742436</v>
      </c>
      <c r="T304" s="3">
        <f t="shared" si="12"/>
        <v>26.56805943742436</v>
      </c>
      <c r="U304">
        <f t="shared" si="13"/>
        <v>9.675352632025561</v>
      </c>
    </row>
    <row r="305" spans="1:21" hidden="1" x14ac:dyDescent="0.25">
      <c r="A305" t="s">
        <v>173</v>
      </c>
      <c r="B305">
        <v>5</v>
      </c>
      <c r="C305">
        <v>30</v>
      </c>
      <c r="D305">
        <v>2</v>
      </c>
      <c r="E305">
        <v>5</v>
      </c>
      <c r="F305">
        <v>13</v>
      </c>
      <c r="G305">
        <v>21</v>
      </c>
      <c r="H305" t="s">
        <v>38</v>
      </c>
      <c r="I305" t="s">
        <v>39</v>
      </c>
      <c r="J305" t="s">
        <v>383</v>
      </c>
      <c r="K305" t="s">
        <v>40</v>
      </c>
      <c r="L305">
        <v>2025</v>
      </c>
      <c r="M305" t="s">
        <v>24</v>
      </c>
      <c r="N305">
        <v>979.78</v>
      </c>
      <c r="O305">
        <v>16</v>
      </c>
      <c r="P305" s="3">
        <v>16.080223855291599</v>
      </c>
      <c r="Q305">
        <v>1.328773075845104</v>
      </c>
      <c r="R305" s="3">
        <v>36.302780511089111</v>
      </c>
      <c r="S305">
        <v>26.550269822769081</v>
      </c>
      <c r="T305" s="3">
        <f t="shared" si="12"/>
        <v>26.550269822769081</v>
      </c>
      <c r="U305">
        <f t="shared" si="13"/>
        <v>10.470045967477482</v>
      </c>
    </row>
    <row r="306" spans="1:21" hidden="1" x14ac:dyDescent="0.25">
      <c r="A306" t="s">
        <v>184</v>
      </c>
      <c r="B306">
        <v>12</v>
      </c>
      <c r="C306">
        <v>32</v>
      </c>
      <c r="D306">
        <v>2</v>
      </c>
      <c r="E306">
        <v>8</v>
      </c>
      <c r="F306">
        <v>16</v>
      </c>
      <c r="G306">
        <v>21</v>
      </c>
      <c r="H306" t="s">
        <v>398</v>
      </c>
      <c r="I306" t="s">
        <v>399</v>
      </c>
      <c r="J306" t="s">
        <v>383</v>
      </c>
      <c r="K306" t="s">
        <v>400</v>
      </c>
      <c r="L306">
        <v>2025</v>
      </c>
      <c r="M306" t="s">
        <v>24</v>
      </c>
      <c r="N306">
        <v>1256.47</v>
      </c>
      <c r="O306">
        <v>15.5</v>
      </c>
      <c r="P306" s="3">
        <v>20.7440268940382</v>
      </c>
      <c r="Q306">
        <v>2.3307743374868659</v>
      </c>
      <c r="R306" s="3">
        <v>47.08822189127487</v>
      </c>
      <c r="S306">
        <v>26.405689620211422</v>
      </c>
      <c r="T306" s="3">
        <f t="shared" si="12"/>
        <v>26.405689620211422</v>
      </c>
      <c r="U306">
        <f t="shared" si="13"/>
        <v>5.6616627261732226</v>
      </c>
    </row>
    <row r="307" spans="1:21" hidden="1" x14ac:dyDescent="0.25">
      <c r="A307" t="s">
        <v>64</v>
      </c>
      <c r="B307">
        <v>1</v>
      </c>
      <c r="C307">
        <v>29</v>
      </c>
      <c r="D307">
        <v>1</v>
      </c>
      <c r="E307">
        <v>4</v>
      </c>
      <c r="F307">
        <v>4</v>
      </c>
      <c r="G307">
        <v>19</v>
      </c>
      <c r="H307" t="s">
        <v>139</v>
      </c>
      <c r="I307" t="s">
        <v>140</v>
      </c>
      <c r="J307" t="s">
        <v>383</v>
      </c>
      <c r="K307" t="s">
        <v>141</v>
      </c>
      <c r="L307">
        <v>2025</v>
      </c>
      <c r="M307" t="s">
        <v>24</v>
      </c>
      <c r="N307">
        <v>1310.9</v>
      </c>
      <c r="O307">
        <v>14.8</v>
      </c>
      <c r="P307" s="3">
        <v>21.8219417636762</v>
      </c>
      <c r="Q307">
        <v>0.15059648977958701</v>
      </c>
      <c r="R307" s="3">
        <v>49.621005556338503</v>
      </c>
      <c r="S307">
        <v>26.359949272484418</v>
      </c>
      <c r="T307" s="3">
        <f t="shared" si="12"/>
        <v>26.359949272484418</v>
      </c>
      <c r="U307">
        <f t="shared" si="13"/>
        <v>4.5380075088082172</v>
      </c>
    </row>
    <row r="308" spans="1:21" hidden="1" x14ac:dyDescent="0.25">
      <c r="A308" t="s">
        <v>103</v>
      </c>
      <c r="B308">
        <v>3</v>
      </c>
      <c r="C308">
        <v>10</v>
      </c>
      <c r="D308">
        <v>1</v>
      </c>
      <c r="E308">
        <v>6</v>
      </c>
      <c r="F308">
        <v>6</v>
      </c>
      <c r="G308">
        <v>22</v>
      </c>
      <c r="H308" t="s">
        <v>434</v>
      </c>
      <c r="I308" t="s">
        <v>417</v>
      </c>
      <c r="J308" t="s">
        <v>383</v>
      </c>
      <c r="K308" t="s">
        <v>435</v>
      </c>
      <c r="L308">
        <v>2025</v>
      </c>
      <c r="M308" t="s">
        <v>24</v>
      </c>
      <c r="N308">
        <v>1224.72</v>
      </c>
      <c r="O308">
        <v>16.3</v>
      </c>
      <c r="P308" s="3">
        <v>20.028411338167398</v>
      </c>
      <c r="Q308">
        <v>0.52483091548357275</v>
      </c>
      <c r="R308" s="3">
        <v>45.649227491173598</v>
      </c>
      <c r="S308">
        <v>26.298429164915802</v>
      </c>
      <c r="T308" s="3">
        <f t="shared" si="12"/>
        <v>26.298429164915802</v>
      </c>
      <c r="U308">
        <f t="shared" si="13"/>
        <v>6.2700178267484041</v>
      </c>
    </row>
    <row r="309" spans="1:21" hidden="1" x14ac:dyDescent="0.25">
      <c r="A309" t="s">
        <v>176</v>
      </c>
      <c r="B309">
        <v>21</v>
      </c>
      <c r="C309">
        <v>1</v>
      </c>
      <c r="D309">
        <v>2</v>
      </c>
      <c r="E309">
        <v>6</v>
      </c>
      <c r="F309">
        <v>14</v>
      </c>
      <c r="G309">
        <v>20</v>
      </c>
      <c r="H309" t="s">
        <v>411</v>
      </c>
      <c r="I309" t="s">
        <v>297</v>
      </c>
      <c r="J309" t="s">
        <v>383</v>
      </c>
      <c r="K309" t="s">
        <v>412</v>
      </c>
      <c r="L309">
        <v>2025</v>
      </c>
      <c r="M309" t="s">
        <v>24</v>
      </c>
      <c r="N309">
        <v>1378.94</v>
      </c>
      <c r="O309">
        <v>15.8</v>
      </c>
      <c r="P309" s="3">
        <v>22.685152096218001</v>
      </c>
      <c r="Q309">
        <v>2.7828346383849301</v>
      </c>
      <c r="R309" s="3">
        <v>51.954153764111538</v>
      </c>
      <c r="S309">
        <v>26.172075149582842</v>
      </c>
      <c r="T309" s="3">
        <f t="shared" si="12"/>
        <v>26.172075149582842</v>
      </c>
      <c r="U309">
        <f t="shared" si="13"/>
        <v>3.4869230533648405</v>
      </c>
    </row>
    <row r="310" spans="1:21" hidden="1" x14ac:dyDescent="0.25">
      <c r="A310" t="s">
        <v>134</v>
      </c>
      <c r="B310">
        <v>11</v>
      </c>
      <c r="C310">
        <v>26</v>
      </c>
      <c r="D310">
        <v>1</v>
      </c>
      <c r="E310">
        <v>8</v>
      </c>
      <c r="F310">
        <v>8</v>
      </c>
      <c r="G310">
        <v>22</v>
      </c>
      <c r="H310" t="s">
        <v>452</v>
      </c>
      <c r="I310" t="s">
        <v>405</v>
      </c>
      <c r="J310" t="s">
        <v>383</v>
      </c>
      <c r="K310" t="s">
        <v>453</v>
      </c>
      <c r="L310">
        <v>2025</v>
      </c>
      <c r="M310" t="s">
        <v>24</v>
      </c>
      <c r="N310">
        <v>1174.82</v>
      </c>
      <c r="O310">
        <v>16.100000000000001</v>
      </c>
      <c r="P310" s="3">
        <v>19.258281313317401</v>
      </c>
      <c r="Q310">
        <v>2.0638874724518641</v>
      </c>
      <c r="R310" s="3">
        <v>44.215478364724611</v>
      </c>
      <c r="S310">
        <v>26.107178404773041</v>
      </c>
      <c r="T310" s="3">
        <f t="shared" si="12"/>
        <v>26.107178404773041</v>
      </c>
      <c r="U310">
        <f t="shared" si="13"/>
        <v>6.8488970914556404</v>
      </c>
    </row>
    <row r="311" spans="1:21" hidden="1" x14ac:dyDescent="0.25">
      <c r="A311" t="s">
        <v>194</v>
      </c>
      <c r="B311">
        <v>16</v>
      </c>
      <c r="C311">
        <v>9</v>
      </c>
      <c r="D311">
        <v>3</v>
      </c>
      <c r="E311">
        <v>2</v>
      </c>
      <c r="F311">
        <v>18</v>
      </c>
      <c r="G311">
        <v>19</v>
      </c>
      <c r="H311" t="s">
        <v>416</v>
      </c>
      <c r="I311" t="s">
        <v>417</v>
      </c>
      <c r="J311" t="s">
        <v>383</v>
      </c>
      <c r="K311" t="s">
        <v>418</v>
      </c>
      <c r="L311">
        <v>2025</v>
      </c>
      <c r="M311" t="s">
        <v>24</v>
      </c>
      <c r="N311">
        <v>1258.01</v>
      </c>
      <c r="O311">
        <v>15.95</v>
      </c>
      <c r="P311" s="3">
        <v>20.6588453863917</v>
      </c>
      <c r="Q311">
        <v>2.4471071908081168</v>
      </c>
      <c r="R311" s="3">
        <v>48.340417091139486</v>
      </c>
      <c r="S311">
        <v>25.616063471808324</v>
      </c>
      <c r="T311" s="3">
        <f t="shared" si="12"/>
        <v>25.616063471808324</v>
      </c>
      <c r="U311">
        <f t="shared" si="13"/>
        <v>4.9572180854166241</v>
      </c>
    </row>
    <row r="312" spans="1:21" hidden="1" x14ac:dyDescent="0.25">
      <c r="A312" t="s">
        <v>155</v>
      </c>
      <c r="B312">
        <v>6</v>
      </c>
      <c r="C312">
        <v>16</v>
      </c>
      <c r="D312">
        <v>2</v>
      </c>
      <c r="E312">
        <v>1</v>
      </c>
      <c r="F312">
        <v>9</v>
      </c>
      <c r="G312">
        <v>21</v>
      </c>
      <c r="H312" t="s">
        <v>391</v>
      </c>
      <c r="I312" t="s">
        <v>392</v>
      </c>
      <c r="J312" t="s">
        <v>383</v>
      </c>
      <c r="K312" t="s">
        <v>393</v>
      </c>
      <c r="L312">
        <v>2025</v>
      </c>
      <c r="M312" t="s">
        <v>24</v>
      </c>
      <c r="N312">
        <v>1211.1099999999999</v>
      </c>
      <c r="O312">
        <v>15.9</v>
      </c>
      <c r="P312" s="3">
        <v>19.9004922960772</v>
      </c>
      <c r="Q312">
        <v>1.354333102762654</v>
      </c>
      <c r="R312" s="3">
        <v>46.5779060848269</v>
      </c>
      <c r="S312">
        <v>25.609470422618312</v>
      </c>
      <c r="T312" s="3">
        <f t="shared" si="12"/>
        <v>25.609470422618312</v>
      </c>
      <c r="U312">
        <f t="shared" si="13"/>
        <v>5.7089781265411119</v>
      </c>
    </row>
    <row r="313" spans="1:21" hidden="1" x14ac:dyDescent="0.25">
      <c r="A313" t="s">
        <v>198</v>
      </c>
      <c r="B313">
        <v>8</v>
      </c>
      <c r="C313">
        <v>10</v>
      </c>
      <c r="D313">
        <v>3</v>
      </c>
      <c r="E313">
        <v>3</v>
      </c>
      <c r="F313">
        <v>19</v>
      </c>
      <c r="G313">
        <v>20</v>
      </c>
      <c r="H313" t="s">
        <v>434</v>
      </c>
      <c r="I313" t="s">
        <v>417</v>
      </c>
      <c r="J313" t="s">
        <v>383</v>
      </c>
      <c r="K313" t="s">
        <v>435</v>
      </c>
      <c r="L313">
        <v>2025</v>
      </c>
      <c r="M313" t="s">
        <v>24</v>
      </c>
      <c r="N313">
        <v>1021.98</v>
      </c>
      <c r="O313">
        <v>15.2</v>
      </c>
      <c r="P313" s="3">
        <v>16.932554544478698</v>
      </c>
      <c r="Q313">
        <v>1.657469813674445</v>
      </c>
      <c r="R313" s="3">
        <v>39.840839327410364</v>
      </c>
      <c r="S313">
        <v>25.474797633035251</v>
      </c>
      <c r="T313" s="3">
        <f t="shared" si="12"/>
        <v>25.474797633035251</v>
      </c>
      <c r="U313">
        <f t="shared" si="13"/>
        <v>8.5422430885565532</v>
      </c>
    </row>
    <row r="314" spans="1:21" hidden="1" x14ac:dyDescent="0.25">
      <c r="A314" t="s">
        <v>170</v>
      </c>
      <c r="B314">
        <v>4</v>
      </c>
      <c r="C314">
        <v>31</v>
      </c>
      <c r="D314">
        <v>2</v>
      </c>
      <c r="E314">
        <v>4</v>
      </c>
      <c r="F314">
        <v>12</v>
      </c>
      <c r="G314">
        <v>22</v>
      </c>
      <c r="H314" t="s">
        <v>436</v>
      </c>
      <c r="I314" t="s">
        <v>437</v>
      </c>
      <c r="J314" t="s">
        <v>383</v>
      </c>
      <c r="K314" t="s">
        <v>400</v>
      </c>
      <c r="L314">
        <v>2025</v>
      </c>
      <c r="M314" t="s">
        <v>24</v>
      </c>
      <c r="N314">
        <v>1270.08</v>
      </c>
      <c r="O314">
        <v>16.399999999999999</v>
      </c>
      <c r="P314" s="3">
        <v>20.745389291730799</v>
      </c>
      <c r="Q314">
        <v>0.6520518779042711</v>
      </c>
      <c r="R314" s="3">
        <v>49.018621208573798</v>
      </c>
      <c r="S314">
        <v>25.367474716503168</v>
      </c>
      <c r="T314" s="3">
        <f t="shared" si="12"/>
        <v>25.367474716503168</v>
      </c>
      <c r="U314">
        <f t="shared" si="13"/>
        <v>4.6220854247723686</v>
      </c>
    </row>
    <row r="315" spans="1:21" hidden="1" x14ac:dyDescent="0.25">
      <c r="A315" t="s">
        <v>208</v>
      </c>
      <c r="B315">
        <v>1</v>
      </c>
      <c r="C315">
        <v>8</v>
      </c>
      <c r="D315">
        <v>3</v>
      </c>
      <c r="E315">
        <v>5</v>
      </c>
      <c r="F315">
        <v>21</v>
      </c>
      <c r="G315">
        <v>22</v>
      </c>
      <c r="H315" t="s">
        <v>431</v>
      </c>
      <c r="I315" t="s">
        <v>432</v>
      </c>
      <c r="J315" t="s">
        <v>383</v>
      </c>
      <c r="K315" t="s">
        <v>433</v>
      </c>
      <c r="L315">
        <v>2025</v>
      </c>
      <c r="M315" t="s">
        <v>24</v>
      </c>
      <c r="N315">
        <v>997.92</v>
      </c>
      <c r="O315">
        <v>15.9</v>
      </c>
      <c r="P315" s="3">
        <v>16.3974364608511</v>
      </c>
      <c r="Q315">
        <v>0.28274323489739062</v>
      </c>
      <c r="R315" s="3">
        <v>39.043419906112</v>
      </c>
      <c r="S315">
        <v>25.173571982856803</v>
      </c>
      <c r="T315" s="3">
        <f t="shared" si="12"/>
        <v>25.173571982856803</v>
      </c>
      <c r="U315">
        <f t="shared" si="13"/>
        <v>8.7761355220057027</v>
      </c>
    </row>
    <row r="316" spans="1:21" hidden="1" x14ac:dyDescent="0.25">
      <c r="A316" t="s">
        <v>191</v>
      </c>
      <c r="B316">
        <v>12</v>
      </c>
      <c r="C316">
        <v>2</v>
      </c>
      <c r="D316">
        <v>3</v>
      </c>
      <c r="E316">
        <v>1</v>
      </c>
      <c r="F316">
        <v>17</v>
      </c>
      <c r="G316">
        <v>20</v>
      </c>
      <c r="H316" t="s">
        <v>441</v>
      </c>
      <c r="I316" t="s">
        <v>280</v>
      </c>
      <c r="J316" t="s">
        <v>383</v>
      </c>
      <c r="K316" t="s">
        <v>442</v>
      </c>
      <c r="L316">
        <v>2025</v>
      </c>
      <c r="M316" t="s">
        <v>24</v>
      </c>
      <c r="N316">
        <v>1124.93</v>
      </c>
      <c r="O316">
        <v>16.600000000000001</v>
      </c>
      <c r="P316" s="3">
        <v>18.330562143638002</v>
      </c>
      <c r="Q316">
        <v>2.0352836448837919</v>
      </c>
      <c r="R316" s="3">
        <v>43.907589625164647</v>
      </c>
      <c r="S316">
        <v>25.023780723776021</v>
      </c>
      <c r="T316" s="3">
        <f t="shared" si="12"/>
        <v>25.023780723776021</v>
      </c>
      <c r="U316">
        <f t="shared" si="13"/>
        <v>6.6932185801380193</v>
      </c>
    </row>
    <row r="317" spans="1:21" hidden="1" x14ac:dyDescent="0.25">
      <c r="A317" t="s">
        <v>91</v>
      </c>
      <c r="B317">
        <v>6</v>
      </c>
      <c r="C317">
        <v>17</v>
      </c>
      <c r="D317">
        <v>1</v>
      </c>
      <c r="E317">
        <v>6</v>
      </c>
      <c r="F317">
        <v>6</v>
      </c>
      <c r="G317">
        <v>19</v>
      </c>
      <c r="H317" t="s">
        <v>427</v>
      </c>
      <c r="I317" t="s">
        <v>392</v>
      </c>
      <c r="J317" t="s">
        <v>383</v>
      </c>
      <c r="K317" t="s">
        <v>428</v>
      </c>
      <c r="L317">
        <v>2025</v>
      </c>
      <c r="M317" t="s">
        <v>24</v>
      </c>
      <c r="N317">
        <v>1401.62</v>
      </c>
      <c r="O317">
        <v>15.8</v>
      </c>
      <c r="P317" s="3">
        <v>23.058264232744801</v>
      </c>
      <c r="Q317">
        <v>1.233115039532255</v>
      </c>
      <c r="R317" s="3">
        <v>55.273126974021238</v>
      </c>
      <c r="S317">
        <v>25.005141445323442</v>
      </c>
      <c r="T317" s="3">
        <f t="shared" si="12"/>
        <v>25.005141445323442</v>
      </c>
      <c r="U317">
        <f t="shared" si="13"/>
        <v>1.9468772125786415</v>
      </c>
    </row>
    <row r="318" spans="1:21" hidden="1" x14ac:dyDescent="0.25">
      <c r="A318" t="s">
        <v>196</v>
      </c>
      <c r="B318">
        <v>14</v>
      </c>
      <c r="C318">
        <v>1</v>
      </c>
      <c r="D318">
        <v>3</v>
      </c>
      <c r="E318">
        <v>2</v>
      </c>
      <c r="F318">
        <v>18</v>
      </c>
      <c r="G318">
        <v>22</v>
      </c>
      <c r="H318" t="s">
        <v>411</v>
      </c>
      <c r="I318" t="s">
        <v>297</v>
      </c>
      <c r="J318" t="s">
        <v>383</v>
      </c>
      <c r="K318" t="s">
        <v>412</v>
      </c>
      <c r="L318">
        <v>2025</v>
      </c>
      <c r="M318" t="s">
        <v>24</v>
      </c>
      <c r="N318">
        <v>1088.6400000000001</v>
      </c>
      <c r="O318">
        <v>14.2</v>
      </c>
      <c r="P318" s="3">
        <v>18.249703361898501</v>
      </c>
      <c r="Q318">
        <v>2.0615797055059559</v>
      </c>
      <c r="R318" s="3">
        <v>44.190637792095558</v>
      </c>
      <c r="S318">
        <v>24.753822849505472</v>
      </c>
      <c r="T318" s="3">
        <f t="shared" si="12"/>
        <v>24.753822849505472</v>
      </c>
      <c r="U318">
        <f t="shared" si="13"/>
        <v>6.504119487606971</v>
      </c>
    </row>
    <row r="319" spans="1:21" hidden="1" x14ac:dyDescent="0.25">
      <c r="A319" t="s">
        <v>174</v>
      </c>
      <c r="B319">
        <v>2</v>
      </c>
      <c r="C319">
        <v>2</v>
      </c>
      <c r="D319">
        <v>2</v>
      </c>
      <c r="E319">
        <v>5</v>
      </c>
      <c r="F319">
        <v>13</v>
      </c>
      <c r="G319">
        <v>22</v>
      </c>
      <c r="H319" t="s">
        <v>441</v>
      </c>
      <c r="I319" t="s">
        <v>280</v>
      </c>
      <c r="J319" t="s">
        <v>383</v>
      </c>
      <c r="K319" t="s">
        <v>442</v>
      </c>
      <c r="L319">
        <v>2025</v>
      </c>
      <c r="M319" t="s">
        <v>24</v>
      </c>
      <c r="N319">
        <v>1388.02</v>
      </c>
      <c r="O319">
        <v>15.7</v>
      </c>
      <c r="P319" s="3">
        <v>22.861647952637099</v>
      </c>
      <c r="Q319">
        <v>0.31663464769164618</v>
      </c>
      <c r="R319" s="3">
        <v>55.408223684288103</v>
      </c>
      <c r="S319">
        <v>24.731476433698539</v>
      </c>
      <c r="T319" s="3">
        <f t="shared" si="12"/>
        <v>24.731476433698539</v>
      </c>
      <c r="U319">
        <f t="shared" si="13"/>
        <v>1.8698284810614396</v>
      </c>
    </row>
    <row r="320" spans="1:21" hidden="1" x14ac:dyDescent="0.25">
      <c r="A320" t="s">
        <v>126</v>
      </c>
      <c r="B320">
        <v>7</v>
      </c>
      <c r="C320">
        <v>6</v>
      </c>
      <c r="D320">
        <v>1</v>
      </c>
      <c r="E320">
        <v>8</v>
      </c>
      <c r="F320">
        <v>8</v>
      </c>
      <c r="G320">
        <v>20</v>
      </c>
      <c r="H320" t="s">
        <v>448</v>
      </c>
      <c r="I320" t="s">
        <v>389</v>
      </c>
      <c r="J320" t="s">
        <v>383</v>
      </c>
      <c r="K320" t="s">
        <v>449</v>
      </c>
      <c r="L320">
        <v>2025</v>
      </c>
      <c r="M320" t="s">
        <v>24</v>
      </c>
      <c r="N320">
        <v>1211.1099999999999</v>
      </c>
      <c r="O320">
        <v>16.7</v>
      </c>
      <c r="P320" s="3">
        <v>19.7111891588969</v>
      </c>
      <c r="Q320">
        <v>1.5289536380616651</v>
      </c>
      <c r="R320" s="3">
        <v>48.457504064731999</v>
      </c>
      <c r="S320">
        <v>24.381954889917338</v>
      </c>
      <c r="T320" s="3">
        <f t="shared" si="12"/>
        <v>24.381954889917338</v>
      </c>
      <c r="U320">
        <f t="shared" si="13"/>
        <v>4.6707657310204382</v>
      </c>
    </row>
    <row r="321" spans="1:21" hidden="1" x14ac:dyDescent="0.25">
      <c r="A321" t="s">
        <v>195</v>
      </c>
      <c r="B321">
        <v>3</v>
      </c>
      <c r="C321">
        <v>12</v>
      </c>
      <c r="D321">
        <v>3</v>
      </c>
      <c r="E321">
        <v>2</v>
      </c>
      <c r="F321">
        <v>18</v>
      </c>
      <c r="G321">
        <v>21</v>
      </c>
      <c r="H321" t="s">
        <v>443</v>
      </c>
      <c r="I321" t="s">
        <v>444</v>
      </c>
      <c r="J321" t="s">
        <v>383</v>
      </c>
      <c r="K321" t="s">
        <v>445</v>
      </c>
      <c r="L321">
        <v>2025</v>
      </c>
      <c r="M321" t="s">
        <v>24</v>
      </c>
      <c r="N321">
        <v>1374.41</v>
      </c>
      <c r="O321">
        <v>15.8</v>
      </c>
      <c r="P321" s="3">
        <v>22.610628375827101</v>
      </c>
      <c r="Q321">
        <v>0.79909221226099714</v>
      </c>
      <c r="R321" s="3">
        <v>53.601348663556102</v>
      </c>
      <c r="S321">
        <v>24.374967467927554</v>
      </c>
      <c r="T321" s="3">
        <f t="shared" si="12"/>
        <v>25.284458295142514</v>
      </c>
      <c r="U321">
        <f t="shared" si="13"/>
        <v>2.6738299193154127</v>
      </c>
    </row>
    <row r="322" spans="1:21" hidden="1" x14ac:dyDescent="0.25">
      <c r="A322" t="s">
        <v>213</v>
      </c>
      <c r="B322">
        <v>9</v>
      </c>
      <c r="C322">
        <v>30</v>
      </c>
      <c r="D322">
        <v>3</v>
      </c>
      <c r="E322">
        <v>7</v>
      </c>
      <c r="F322">
        <v>23</v>
      </c>
      <c r="G322">
        <v>19</v>
      </c>
      <c r="H322" t="s">
        <v>38</v>
      </c>
      <c r="I322" t="s">
        <v>39</v>
      </c>
      <c r="J322" t="s">
        <v>383</v>
      </c>
      <c r="K322" t="s">
        <v>40</v>
      </c>
      <c r="L322">
        <v>2025</v>
      </c>
      <c r="M322" t="s">
        <v>24</v>
      </c>
      <c r="N322">
        <v>1006.99</v>
      </c>
      <c r="O322">
        <v>16.100000000000001</v>
      </c>
      <c r="P322" s="3">
        <v>16.507121686468999</v>
      </c>
      <c r="Q322">
        <v>1.8591476295720291</v>
      </c>
      <c r="R322" s="3">
        <v>42.011679169950355</v>
      </c>
      <c r="S322">
        <v>23.551471720146488</v>
      </c>
      <c r="T322" s="3">
        <f t="shared" si="12"/>
        <v>23.551471720146488</v>
      </c>
      <c r="U322">
        <f t="shared" si="13"/>
        <v>7.0443500336774889</v>
      </c>
    </row>
    <row r="323" spans="1:21" hidden="1" x14ac:dyDescent="0.25">
      <c r="A323" t="s">
        <v>201</v>
      </c>
      <c r="B323">
        <v>14</v>
      </c>
      <c r="C323">
        <v>18</v>
      </c>
      <c r="D323">
        <v>3</v>
      </c>
      <c r="E323">
        <v>4</v>
      </c>
      <c r="F323">
        <v>20</v>
      </c>
      <c r="G323">
        <v>19</v>
      </c>
      <c r="H323" t="s">
        <v>413</v>
      </c>
      <c r="I323" t="s">
        <v>414</v>
      </c>
      <c r="J323" t="s">
        <v>383</v>
      </c>
      <c r="K323" t="s">
        <v>415</v>
      </c>
      <c r="L323">
        <v>2025</v>
      </c>
      <c r="M323" t="s">
        <v>24</v>
      </c>
      <c r="N323">
        <v>1119.5</v>
      </c>
      <c r="O323">
        <v>14.2</v>
      </c>
      <c r="P323" s="3">
        <v>18.767033099688899</v>
      </c>
      <c r="Q323">
        <v>2.5107946748760019</v>
      </c>
      <c r="R323" s="3">
        <v>49.025942800897795</v>
      </c>
      <c r="S323">
        <v>22.944912422464508</v>
      </c>
      <c r="T323" s="3">
        <f t="shared" si="12"/>
        <v>22.944912422464508</v>
      </c>
      <c r="U323">
        <f t="shared" si="13"/>
        <v>4.1778793227756097</v>
      </c>
    </row>
    <row r="324" spans="1:21" hidden="1" x14ac:dyDescent="0.25">
      <c r="A324" t="s">
        <v>76</v>
      </c>
      <c r="B324">
        <v>10</v>
      </c>
      <c r="C324">
        <v>30</v>
      </c>
      <c r="D324">
        <v>1</v>
      </c>
      <c r="E324">
        <v>5</v>
      </c>
      <c r="F324">
        <v>5</v>
      </c>
      <c r="G324">
        <v>19</v>
      </c>
      <c r="H324" t="s">
        <v>38</v>
      </c>
      <c r="I324" t="s">
        <v>39</v>
      </c>
      <c r="J324" t="s">
        <v>383</v>
      </c>
      <c r="K324" t="s">
        <v>40</v>
      </c>
      <c r="L324">
        <v>2025</v>
      </c>
      <c r="M324" t="s">
        <v>24</v>
      </c>
      <c r="N324">
        <v>1329.05</v>
      </c>
      <c r="O324">
        <v>16.8</v>
      </c>
      <c r="P324" s="3">
        <v>21.6047318450209</v>
      </c>
      <c r="Q324">
        <v>2.2961089258873622</v>
      </c>
      <c r="R324" s="3">
        <v>56.715086867358998</v>
      </c>
      <c r="S324">
        <v>22.833212436387054</v>
      </c>
      <c r="T324" s="3">
        <f t="shared" si="12"/>
        <v>22.833212436387054</v>
      </c>
      <c r="U324">
        <f t="shared" si="13"/>
        <v>1.2284805913661536</v>
      </c>
    </row>
    <row r="325" spans="1:21" hidden="1" x14ac:dyDescent="0.25">
      <c r="A325" t="s">
        <v>175</v>
      </c>
      <c r="B325">
        <v>20</v>
      </c>
      <c r="C325">
        <v>18</v>
      </c>
      <c r="D325">
        <v>2</v>
      </c>
      <c r="E325">
        <v>6</v>
      </c>
      <c r="F325">
        <v>14</v>
      </c>
      <c r="G325">
        <v>19</v>
      </c>
      <c r="H325" t="s">
        <v>413</v>
      </c>
      <c r="I325" t="s">
        <v>414</v>
      </c>
      <c r="J325" t="s">
        <v>383</v>
      </c>
      <c r="K325" t="s">
        <v>415</v>
      </c>
      <c r="L325">
        <v>2025</v>
      </c>
      <c r="M325" t="s">
        <v>24</v>
      </c>
      <c r="N325">
        <v>1242.8599999999999</v>
      </c>
      <c r="O325">
        <v>15.9</v>
      </c>
      <c r="P325" s="3">
        <v>20.422196047512202</v>
      </c>
      <c r="Q325">
        <v>2.953815175249439</v>
      </c>
      <c r="R325" s="3">
        <v>53.794571164867435</v>
      </c>
      <c r="S325">
        <v>22.755203816687935</v>
      </c>
      <c r="T325" s="3">
        <f t="shared" si="12"/>
        <v>22.755203816687935</v>
      </c>
      <c r="U325">
        <f t="shared" ref="U325:U356" si="14">T325-P325</f>
        <v>2.3330077691757332</v>
      </c>
    </row>
    <row r="326" spans="1:21" hidden="1" x14ac:dyDescent="0.25">
      <c r="A326" t="s">
        <v>203</v>
      </c>
      <c r="B326">
        <v>0</v>
      </c>
      <c r="C326">
        <v>31</v>
      </c>
      <c r="D326">
        <v>3</v>
      </c>
      <c r="E326">
        <v>4</v>
      </c>
      <c r="F326">
        <v>20</v>
      </c>
      <c r="G326">
        <v>21</v>
      </c>
      <c r="H326" t="s">
        <v>436</v>
      </c>
      <c r="I326" t="s">
        <v>437</v>
      </c>
      <c r="J326" t="s">
        <v>383</v>
      </c>
      <c r="K326" t="s">
        <v>400</v>
      </c>
      <c r="L326">
        <v>2025</v>
      </c>
      <c r="M326" t="s">
        <v>24</v>
      </c>
      <c r="N326">
        <v>1292.76</v>
      </c>
      <c r="O326">
        <v>16.8</v>
      </c>
      <c r="P326" s="3">
        <v>21.0148099318831</v>
      </c>
      <c r="R326" s="3">
        <v>53.45</v>
      </c>
      <c r="S326">
        <v>23.566467863743181</v>
      </c>
      <c r="T326" s="3">
        <f t="shared" ref="T326:T353" si="15">IF(N326&lt;= 0, -9, N326/ 453.6 / (R326/ 43560) * ((100 - O326) / (100 - 18)) / 100)</f>
        <v>23.566467863743181</v>
      </c>
      <c r="U326">
        <f t="shared" si="14"/>
        <v>2.5516579318600812</v>
      </c>
    </row>
    <row r="327" spans="1:21" hidden="1" x14ac:dyDescent="0.25">
      <c r="A327" t="s">
        <v>200</v>
      </c>
      <c r="B327">
        <v>6</v>
      </c>
      <c r="C327">
        <v>15</v>
      </c>
      <c r="D327">
        <v>3</v>
      </c>
      <c r="E327">
        <v>3</v>
      </c>
      <c r="F327">
        <v>19</v>
      </c>
      <c r="G327">
        <v>22</v>
      </c>
      <c r="H327" t="s">
        <v>394</v>
      </c>
      <c r="I327" t="s">
        <v>392</v>
      </c>
      <c r="J327" t="s">
        <v>383</v>
      </c>
      <c r="K327" t="s">
        <v>395</v>
      </c>
      <c r="L327">
        <v>2025</v>
      </c>
      <c r="M327" t="s">
        <v>24</v>
      </c>
      <c r="N327">
        <v>979.78</v>
      </c>
      <c r="O327">
        <v>14.3</v>
      </c>
      <c r="P327" s="3">
        <v>16.405656957124901</v>
      </c>
      <c r="Q327">
        <v>1.0586557282759159</v>
      </c>
      <c r="R327" s="3">
        <v>43.395264393589102</v>
      </c>
      <c r="S327">
        <v>22.660423706401922</v>
      </c>
      <c r="T327" s="3">
        <f t="shared" si="15"/>
        <v>22.660423706401922</v>
      </c>
      <c r="U327">
        <f t="shared" si="14"/>
        <v>6.2547667492770209</v>
      </c>
    </row>
    <row r="328" spans="1:21" hidden="1" x14ac:dyDescent="0.25">
      <c r="A328" t="s">
        <v>192</v>
      </c>
      <c r="B328">
        <v>12</v>
      </c>
      <c r="C328">
        <v>17</v>
      </c>
      <c r="D328">
        <v>3</v>
      </c>
      <c r="E328">
        <v>1</v>
      </c>
      <c r="F328">
        <v>17</v>
      </c>
      <c r="G328">
        <v>21</v>
      </c>
      <c r="H328" t="s">
        <v>427</v>
      </c>
      <c r="I328" t="s">
        <v>392</v>
      </c>
      <c r="J328" t="s">
        <v>383</v>
      </c>
      <c r="K328" t="s">
        <v>428</v>
      </c>
      <c r="L328">
        <v>2025</v>
      </c>
      <c r="M328" t="s">
        <v>24</v>
      </c>
      <c r="N328">
        <v>1038.74</v>
      </c>
      <c r="O328">
        <v>15.5</v>
      </c>
      <c r="P328" s="3">
        <v>17.149355333524301</v>
      </c>
      <c r="Q328">
        <v>2.180145567304876</v>
      </c>
      <c r="R328" s="3">
        <v>45.466868871912951</v>
      </c>
      <c r="S328">
        <v>22.60838241549655</v>
      </c>
      <c r="T328" s="3">
        <f t="shared" si="15"/>
        <v>22.60838241549655</v>
      </c>
      <c r="U328">
        <f t="shared" si="14"/>
        <v>5.4590270819722484</v>
      </c>
    </row>
    <row r="329" spans="1:21" hidden="1" x14ac:dyDescent="0.25">
      <c r="A329" t="s">
        <v>171</v>
      </c>
      <c r="B329">
        <v>2</v>
      </c>
      <c r="C329">
        <v>13</v>
      </c>
      <c r="D329">
        <v>2</v>
      </c>
      <c r="E329">
        <v>5</v>
      </c>
      <c r="F329">
        <v>13</v>
      </c>
      <c r="G329">
        <v>19</v>
      </c>
      <c r="H329" t="s">
        <v>407</v>
      </c>
      <c r="I329" t="s">
        <v>392</v>
      </c>
      <c r="J329" t="s">
        <v>383</v>
      </c>
      <c r="K329" t="s">
        <v>408</v>
      </c>
      <c r="L329">
        <v>2025</v>
      </c>
      <c r="M329" t="s">
        <v>24</v>
      </c>
      <c r="N329">
        <v>839.16</v>
      </c>
      <c r="O329">
        <v>14.9</v>
      </c>
      <c r="P329" s="3">
        <v>13.9527100271003</v>
      </c>
      <c r="Q329">
        <v>0.47024255461284381</v>
      </c>
      <c r="R329" s="3">
        <v>37.061643833597202</v>
      </c>
      <c r="S329">
        <v>22.565794511959631</v>
      </c>
      <c r="T329" s="3">
        <f t="shared" si="15"/>
        <v>22.565794511959631</v>
      </c>
      <c r="U329">
        <f t="shared" si="14"/>
        <v>8.6130844848593302</v>
      </c>
    </row>
    <row r="330" spans="1:21" hidden="1" x14ac:dyDescent="0.25">
      <c r="A330" t="s">
        <v>156</v>
      </c>
      <c r="B330">
        <v>17</v>
      </c>
      <c r="C330">
        <v>5</v>
      </c>
      <c r="D330">
        <v>2</v>
      </c>
      <c r="E330">
        <v>1</v>
      </c>
      <c r="F330">
        <v>9</v>
      </c>
      <c r="G330">
        <v>22</v>
      </c>
      <c r="H330" t="s">
        <v>401</v>
      </c>
      <c r="I330" t="s">
        <v>402</v>
      </c>
      <c r="J330" t="s">
        <v>383</v>
      </c>
      <c r="K330" t="s">
        <v>403</v>
      </c>
      <c r="L330">
        <v>2025</v>
      </c>
      <c r="M330" t="s">
        <v>24</v>
      </c>
      <c r="N330">
        <v>1234.32</v>
      </c>
      <c r="O330">
        <v>15.8</v>
      </c>
      <c r="P330" s="3">
        <v>20.3059864355257</v>
      </c>
      <c r="Q330">
        <v>2.991486624633191</v>
      </c>
      <c r="R330" s="3">
        <v>54.200062878889199</v>
      </c>
      <c r="S330">
        <v>22.456446769538449</v>
      </c>
      <c r="T330" s="3">
        <f t="shared" si="15"/>
        <v>22.456446769538449</v>
      </c>
      <c r="U330">
        <f t="shared" si="14"/>
        <v>2.1504603340127488</v>
      </c>
    </row>
    <row r="331" spans="1:21" hidden="1" x14ac:dyDescent="0.25">
      <c r="A331" t="s">
        <v>216</v>
      </c>
      <c r="B331">
        <v>1</v>
      </c>
      <c r="C331">
        <v>29</v>
      </c>
      <c r="D331">
        <v>3</v>
      </c>
      <c r="E331">
        <v>7</v>
      </c>
      <c r="F331">
        <v>23</v>
      </c>
      <c r="G331">
        <v>22</v>
      </c>
      <c r="H331" t="s">
        <v>139</v>
      </c>
      <c r="I331" t="s">
        <v>140</v>
      </c>
      <c r="J331" t="s">
        <v>383</v>
      </c>
      <c r="K331" t="s">
        <v>141</v>
      </c>
      <c r="L331">
        <v>2025</v>
      </c>
      <c r="M331" t="s">
        <v>24</v>
      </c>
      <c r="N331">
        <v>1189.81</v>
      </c>
      <c r="O331">
        <v>14.2</v>
      </c>
      <c r="P331" s="3">
        <v>19.9456933026716</v>
      </c>
      <c r="Q331">
        <v>0.1937182890508293</v>
      </c>
      <c r="R331" s="3">
        <v>54.085164291514197</v>
      </c>
      <c r="S331">
        <v>22.104857630056504</v>
      </c>
      <c r="T331" s="3">
        <f t="shared" si="15"/>
        <v>22.104857630056504</v>
      </c>
      <c r="U331">
        <f t="shared" si="14"/>
        <v>2.1591643273849037</v>
      </c>
    </row>
    <row r="332" spans="1:21" hidden="1" x14ac:dyDescent="0.25">
      <c r="A332" t="s">
        <v>157</v>
      </c>
      <c r="B332">
        <v>14</v>
      </c>
      <c r="C332">
        <v>24</v>
      </c>
      <c r="D332">
        <v>2</v>
      </c>
      <c r="E332">
        <v>2</v>
      </c>
      <c r="F332">
        <v>10</v>
      </c>
      <c r="G332">
        <v>19</v>
      </c>
      <c r="H332" t="s">
        <v>450</v>
      </c>
      <c r="I332" t="s">
        <v>405</v>
      </c>
      <c r="J332" t="s">
        <v>383</v>
      </c>
      <c r="K332" t="s">
        <v>451</v>
      </c>
      <c r="L332">
        <v>2025</v>
      </c>
      <c r="M332" t="s">
        <v>24</v>
      </c>
      <c r="N332">
        <v>1111.32</v>
      </c>
      <c r="O332">
        <v>16.399999999999999</v>
      </c>
      <c r="P332" s="3">
        <v>18.152215630264401</v>
      </c>
      <c r="Q332">
        <v>2.6465486238807281</v>
      </c>
      <c r="R332" s="3">
        <v>50.487184732589768</v>
      </c>
      <c r="S332">
        <v>21.550890798149617</v>
      </c>
      <c r="T332" s="3">
        <f t="shared" si="15"/>
        <v>21.550890798149617</v>
      </c>
      <c r="U332">
        <f t="shared" si="14"/>
        <v>3.3986751678852158</v>
      </c>
    </row>
    <row r="333" spans="1:21" hidden="1" x14ac:dyDescent="0.25">
      <c r="A333" t="s">
        <v>214</v>
      </c>
      <c r="B333">
        <v>0</v>
      </c>
      <c r="C333">
        <v>27</v>
      </c>
      <c r="D333">
        <v>3</v>
      </c>
      <c r="E333">
        <v>7</v>
      </c>
      <c r="F333">
        <v>23</v>
      </c>
      <c r="G333">
        <v>20</v>
      </c>
      <c r="H333" t="s">
        <v>438</v>
      </c>
      <c r="I333" t="s">
        <v>439</v>
      </c>
      <c r="J333" t="s">
        <v>383</v>
      </c>
      <c r="K333" t="s">
        <v>440</v>
      </c>
      <c r="L333">
        <v>2025</v>
      </c>
      <c r="M333" t="s">
        <v>24</v>
      </c>
      <c r="N333">
        <v>1188.43</v>
      </c>
      <c r="O333">
        <v>16.5</v>
      </c>
      <c r="P333" s="3">
        <v>19.3885046890354</v>
      </c>
      <c r="R333" s="3">
        <v>50.54</v>
      </c>
      <c r="S333">
        <v>22.994597765349862</v>
      </c>
      <c r="T333" s="3">
        <f t="shared" si="15"/>
        <v>22.994597765349862</v>
      </c>
      <c r="U333">
        <f t="shared" si="14"/>
        <v>3.6060930763144619</v>
      </c>
    </row>
    <row r="334" spans="1:21" hidden="1" x14ac:dyDescent="0.25">
      <c r="A334" t="s">
        <v>57</v>
      </c>
      <c r="B334">
        <v>7</v>
      </c>
      <c r="C334">
        <v>23</v>
      </c>
      <c r="D334">
        <v>1</v>
      </c>
      <c r="E334">
        <v>3</v>
      </c>
      <c r="F334">
        <v>3</v>
      </c>
      <c r="G334">
        <v>21</v>
      </c>
      <c r="H334" t="s">
        <v>409</v>
      </c>
      <c r="I334" t="s">
        <v>405</v>
      </c>
      <c r="J334" t="s">
        <v>383</v>
      </c>
      <c r="K334" t="s">
        <v>410</v>
      </c>
      <c r="L334">
        <v>2025</v>
      </c>
      <c r="M334" t="s">
        <v>24</v>
      </c>
      <c r="N334">
        <v>1156.68</v>
      </c>
      <c r="O334">
        <v>15.6</v>
      </c>
      <c r="P334" s="3">
        <v>19.0739178202593</v>
      </c>
      <c r="Q334">
        <v>1.211653121724539</v>
      </c>
      <c r="R334" s="3">
        <v>55.042113036930758</v>
      </c>
      <c r="S334">
        <v>20.771198107515339</v>
      </c>
      <c r="T334" s="3">
        <f t="shared" si="15"/>
        <v>20.771198107515339</v>
      </c>
      <c r="U334">
        <f t="shared" ref="U334:U397" si="16">T334-P334</f>
        <v>1.6972802872560386</v>
      </c>
    </row>
    <row r="335" spans="1:21" hidden="1" x14ac:dyDescent="0.25">
      <c r="A335" t="s">
        <v>197</v>
      </c>
      <c r="B335">
        <v>8</v>
      </c>
      <c r="C335">
        <v>24</v>
      </c>
      <c r="D335">
        <v>3</v>
      </c>
      <c r="E335">
        <v>3</v>
      </c>
      <c r="F335">
        <v>19</v>
      </c>
      <c r="G335">
        <v>19</v>
      </c>
      <c r="H335" t="s">
        <v>450</v>
      </c>
      <c r="I335" t="s">
        <v>405</v>
      </c>
      <c r="J335" t="s">
        <v>383</v>
      </c>
      <c r="K335" t="s">
        <v>451</v>
      </c>
      <c r="L335">
        <v>2025</v>
      </c>
      <c r="M335" t="s">
        <v>24</v>
      </c>
      <c r="N335">
        <v>889.06</v>
      </c>
      <c r="O335">
        <v>15.4</v>
      </c>
      <c r="P335" s="3">
        <v>14.6955440341619</v>
      </c>
      <c r="Q335">
        <v>1.9041892245839129</v>
      </c>
      <c r="R335" s="3">
        <v>52.496502394498798</v>
      </c>
      <c r="S335">
        <v>20.727609562562321</v>
      </c>
      <c r="T335" s="3">
        <f t="shared" si="15"/>
        <v>16.779230410214367</v>
      </c>
      <c r="U335">
        <f t="shared" si="16"/>
        <v>2.0836863760524675</v>
      </c>
    </row>
    <row r="336" spans="1:21" hidden="1" x14ac:dyDescent="0.25">
      <c r="A336" t="s">
        <v>206</v>
      </c>
      <c r="B336">
        <v>8</v>
      </c>
      <c r="C336">
        <v>26</v>
      </c>
      <c r="D336">
        <v>3</v>
      </c>
      <c r="E336">
        <v>5</v>
      </c>
      <c r="F336">
        <v>21</v>
      </c>
      <c r="G336">
        <v>20</v>
      </c>
      <c r="H336" t="s">
        <v>452</v>
      </c>
      <c r="I336" t="s">
        <v>405</v>
      </c>
      <c r="J336" t="s">
        <v>383</v>
      </c>
      <c r="K336" t="s">
        <v>453</v>
      </c>
      <c r="L336">
        <v>2025</v>
      </c>
      <c r="M336" t="s">
        <v>24</v>
      </c>
      <c r="N336">
        <v>730.3</v>
      </c>
      <c r="O336">
        <v>14.7</v>
      </c>
      <c r="P336" s="3">
        <v>12.1712327083827</v>
      </c>
      <c r="Q336">
        <v>1.261778089738848</v>
      </c>
      <c r="R336" s="3">
        <v>35.58165318013998</v>
      </c>
      <c r="S336">
        <v>20.50336685726716</v>
      </c>
      <c r="T336" s="3">
        <f t="shared" si="15"/>
        <v>20.50336685726716</v>
      </c>
      <c r="U336">
        <f t="shared" si="16"/>
        <v>8.3321341488844602</v>
      </c>
    </row>
    <row r="337" spans="1:21" hidden="1" x14ac:dyDescent="0.25">
      <c r="A337" t="s">
        <v>209</v>
      </c>
      <c r="B337">
        <v>1</v>
      </c>
      <c r="C337">
        <v>7</v>
      </c>
      <c r="D337">
        <v>3</v>
      </c>
      <c r="E337">
        <v>6</v>
      </c>
      <c r="F337">
        <v>22</v>
      </c>
      <c r="G337">
        <v>19</v>
      </c>
      <c r="H337" t="s">
        <v>388</v>
      </c>
      <c r="I337" t="s">
        <v>389</v>
      </c>
      <c r="J337" t="s">
        <v>383</v>
      </c>
      <c r="K337" t="s">
        <v>390</v>
      </c>
      <c r="L337">
        <v>2025</v>
      </c>
      <c r="M337" t="s">
        <v>24</v>
      </c>
      <c r="N337">
        <v>911.74</v>
      </c>
      <c r="O337">
        <v>15.8</v>
      </c>
      <c r="P337" s="3">
        <v>14.999173692985799</v>
      </c>
      <c r="Q337">
        <v>0.28274324016389479</v>
      </c>
      <c r="R337" s="3">
        <v>45.043419962800101</v>
      </c>
      <c r="S337">
        <v>19.959640540173574</v>
      </c>
      <c r="T337" s="3">
        <f t="shared" si="15"/>
        <v>19.959640540173574</v>
      </c>
      <c r="U337">
        <f t="shared" si="16"/>
        <v>4.9604668471877744</v>
      </c>
    </row>
    <row r="338" spans="1:21" hidden="1" x14ac:dyDescent="0.25">
      <c r="A338" t="s">
        <v>60</v>
      </c>
      <c r="B338">
        <v>16</v>
      </c>
      <c r="C338">
        <v>1</v>
      </c>
      <c r="D338">
        <v>1</v>
      </c>
      <c r="E338">
        <v>3</v>
      </c>
      <c r="F338">
        <v>3</v>
      </c>
      <c r="G338">
        <v>22</v>
      </c>
      <c r="H338" t="s">
        <v>411</v>
      </c>
      <c r="I338" t="s">
        <v>297</v>
      </c>
      <c r="J338" t="s">
        <v>383</v>
      </c>
      <c r="K338" t="s">
        <v>412</v>
      </c>
      <c r="L338">
        <v>2025</v>
      </c>
      <c r="M338" t="s">
        <v>24</v>
      </c>
      <c r="N338">
        <v>1206.58</v>
      </c>
      <c r="O338">
        <v>15.3</v>
      </c>
      <c r="P338" s="3">
        <v>19.967503388664198</v>
      </c>
      <c r="Q338">
        <v>2.6001888102016451</v>
      </c>
      <c r="R338" s="3">
        <v>54.988172334129501</v>
      </c>
      <c r="S338">
        <v>19.951468873733255</v>
      </c>
      <c r="T338" s="3">
        <f t="shared" si="15"/>
        <v>21.765628903684821</v>
      </c>
      <c r="U338">
        <f t="shared" si="16"/>
        <v>1.7981255150206223</v>
      </c>
    </row>
    <row r="339" spans="1:21" hidden="1" x14ac:dyDescent="0.25">
      <c r="A339" t="s">
        <v>166</v>
      </c>
      <c r="B339">
        <v>7</v>
      </c>
      <c r="C339">
        <v>26</v>
      </c>
      <c r="D339">
        <v>2</v>
      </c>
      <c r="E339">
        <v>4</v>
      </c>
      <c r="F339">
        <v>12</v>
      </c>
      <c r="G339">
        <v>20</v>
      </c>
      <c r="H339" t="s">
        <v>452</v>
      </c>
      <c r="I339" t="s">
        <v>405</v>
      </c>
      <c r="J339" t="s">
        <v>383</v>
      </c>
      <c r="K339" t="s">
        <v>453</v>
      </c>
      <c r="L339">
        <v>2025</v>
      </c>
      <c r="M339" t="s">
        <v>24</v>
      </c>
      <c r="N339">
        <v>703.08</v>
      </c>
      <c r="O339">
        <v>14.3</v>
      </c>
      <c r="P339" s="3">
        <v>11.772529846920101</v>
      </c>
      <c r="Q339">
        <v>1.297674151307574</v>
      </c>
      <c r="R339" s="3">
        <v>35.968034797259591</v>
      </c>
      <c r="S339">
        <v>19.618682060387506</v>
      </c>
      <c r="T339" s="3">
        <f t="shared" si="15"/>
        <v>19.618682060387506</v>
      </c>
      <c r="U339">
        <f t="shared" si="16"/>
        <v>7.8461522134674055</v>
      </c>
    </row>
    <row r="340" spans="1:21" hidden="1" x14ac:dyDescent="0.25">
      <c r="A340" t="s">
        <v>219</v>
      </c>
      <c r="B340">
        <v>3</v>
      </c>
      <c r="C340">
        <v>11</v>
      </c>
      <c r="D340">
        <v>3</v>
      </c>
      <c r="E340">
        <v>8</v>
      </c>
      <c r="F340">
        <v>24</v>
      </c>
      <c r="G340">
        <v>21</v>
      </c>
      <c r="H340" t="s">
        <v>419</v>
      </c>
      <c r="I340" t="s">
        <v>420</v>
      </c>
      <c r="J340" t="s">
        <v>383</v>
      </c>
      <c r="K340" t="s">
        <v>421</v>
      </c>
      <c r="L340">
        <v>2025</v>
      </c>
      <c r="M340" t="s">
        <v>24</v>
      </c>
      <c r="N340">
        <v>1174.82</v>
      </c>
      <c r="O340">
        <v>15.4</v>
      </c>
      <c r="P340" s="3">
        <v>19.4189582730233</v>
      </c>
      <c r="Q340">
        <v>0.68592079137638073</v>
      </c>
      <c r="R340" s="3">
        <v>53.383182806296197</v>
      </c>
      <c r="S340">
        <v>21.80410192304484</v>
      </c>
      <c r="T340" s="3">
        <f t="shared" si="15"/>
        <v>21.80410192304484</v>
      </c>
      <c r="U340">
        <f t="shared" si="16"/>
        <v>2.3851436500215399</v>
      </c>
    </row>
    <row r="341" spans="1:21" hidden="1" x14ac:dyDescent="0.25">
      <c r="A341" t="s">
        <v>218</v>
      </c>
      <c r="B341">
        <v>0</v>
      </c>
      <c r="C341">
        <v>32</v>
      </c>
      <c r="D341">
        <v>3</v>
      </c>
      <c r="E341">
        <v>8</v>
      </c>
      <c r="F341">
        <v>24</v>
      </c>
      <c r="G341">
        <v>20</v>
      </c>
      <c r="H341" t="s">
        <v>398</v>
      </c>
      <c r="I341" t="s">
        <v>399</v>
      </c>
      <c r="J341" t="s">
        <v>383</v>
      </c>
      <c r="K341" t="s">
        <v>400</v>
      </c>
      <c r="L341">
        <v>2025</v>
      </c>
      <c r="M341" t="s">
        <v>24</v>
      </c>
      <c r="N341">
        <v>957.1</v>
      </c>
      <c r="O341">
        <v>16.399999999999999</v>
      </c>
      <c r="P341" s="3">
        <v>15.633197980533099</v>
      </c>
      <c r="R341" s="3">
        <v>48.96</v>
      </c>
      <c r="S341">
        <v>19.139172527637971</v>
      </c>
      <c r="T341" s="3">
        <f t="shared" si="15"/>
        <v>19.139172527637971</v>
      </c>
      <c r="U341">
        <f t="shared" si="16"/>
        <v>3.5059745471048718</v>
      </c>
    </row>
    <row r="342" spans="1:21" hidden="1" x14ac:dyDescent="0.25">
      <c r="A342" t="s">
        <v>49</v>
      </c>
      <c r="B342">
        <v>9</v>
      </c>
      <c r="C342">
        <v>25</v>
      </c>
      <c r="D342">
        <v>1</v>
      </c>
      <c r="E342">
        <v>3</v>
      </c>
      <c r="F342">
        <v>3</v>
      </c>
      <c r="G342">
        <v>19</v>
      </c>
      <c r="H342" t="s">
        <v>404</v>
      </c>
      <c r="I342" t="s">
        <v>405</v>
      </c>
      <c r="J342" t="s">
        <v>383</v>
      </c>
      <c r="K342" t="s">
        <v>406</v>
      </c>
      <c r="L342">
        <v>2025</v>
      </c>
      <c r="M342" t="s">
        <v>24</v>
      </c>
      <c r="N342">
        <v>979.78</v>
      </c>
      <c r="O342">
        <v>16</v>
      </c>
      <c r="P342" s="3">
        <v>16.080223855291599</v>
      </c>
      <c r="Q342">
        <v>1.770102542347054</v>
      </c>
      <c r="R342" s="3">
        <v>51.053206755569398</v>
      </c>
      <c r="S342">
        <v>18.879296309453323</v>
      </c>
      <c r="T342" s="3">
        <f t="shared" si="15"/>
        <v>18.879296309453323</v>
      </c>
      <c r="U342">
        <f t="shared" si="16"/>
        <v>2.799072454161724</v>
      </c>
    </row>
    <row r="343" spans="1:21" hidden="1" x14ac:dyDescent="0.25">
      <c r="A343" t="s">
        <v>68</v>
      </c>
      <c r="B343">
        <v>14</v>
      </c>
      <c r="C343">
        <v>18</v>
      </c>
      <c r="D343">
        <v>1</v>
      </c>
      <c r="E343">
        <v>4</v>
      </c>
      <c r="F343">
        <v>4</v>
      </c>
      <c r="G343">
        <v>20</v>
      </c>
      <c r="H343" t="s">
        <v>413</v>
      </c>
      <c r="I343" t="s">
        <v>414</v>
      </c>
      <c r="J343" t="s">
        <v>383</v>
      </c>
      <c r="K343" t="s">
        <v>415</v>
      </c>
      <c r="L343">
        <v>2025</v>
      </c>
      <c r="M343" t="s">
        <v>24</v>
      </c>
      <c r="N343">
        <v>1292.76</v>
      </c>
      <c r="O343">
        <v>16.3</v>
      </c>
      <c r="P343" s="3">
        <v>21.141100856954498</v>
      </c>
      <c r="Q343">
        <v>2.3388281412747429</v>
      </c>
      <c r="R343" s="3">
        <v>47.174912229867203</v>
      </c>
      <c r="S343">
        <v>26.861684006771085</v>
      </c>
      <c r="T343" s="3">
        <f t="shared" si="15"/>
        <v>26.861684006771085</v>
      </c>
      <c r="U343">
        <f t="shared" si="16"/>
        <v>5.7205831498165871</v>
      </c>
    </row>
    <row r="344" spans="1:21" hidden="1" x14ac:dyDescent="0.25">
      <c r="A344" t="s">
        <v>217</v>
      </c>
      <c r="B344">
        <v>2</v>
      </c>
      <c r="C344">
        <v>16</v>
      </c>
      <c r="D344">
        <v>3</v>
      </c>
      <c r="E344">
        <v>8</v>
      </c>
      <c r="F344">
        <v>24</v>
      </c>
      <c r="G344">
        <v>19</v>
      </c>
      <c r="H344" t="s">
        <v>391</v>
      </c>
      <c r="I344" t="s">
        <v>392</v>
      </c>
      <c r="J344" t="s">
        <v>383</v>
      </c>
      <c r="K344" t="s">
        <v>393</v>
      </c>
      <c r="L344">
        <v>2025</v>
      </c>
      <c r="M344" t="s">
        <v>24</v>
      </c>
      <c r="N344">
        <v>1102.25</v>
      </c>
      <c r="O344">
        <v>16</v>
      </c>
      <c r="P344" s="3">
        <v>18.090210807013001</v>
      </c>
      <c r="Q344">
        <v>0.52513555777435583</v>
      </c>
      <c r="R344" s="3">
        <v>51.652506630327402</v>
      </c>
      <c r="S344">
        <v>18.807980765262347</v>
      </c>
      <c r="T344" s="3">
        <f t="shared" si="15"/>
        <v>20.992732134624084</v>
      </c>
      <c r="U344">
        <f t="shared" si="16"/>
        <v>2.9025213276110833</v>
      </c>
    </row>
    <row r="345" spans="1:21" hidden="1" x14ac:dyDescent="0.25">
      <c r="A345" t="s">
        <v>215</v>
      </c>
      <c r="B345">
        <v>2</v>
      </c>
      <c r="C345">
        <v>25</v>
      </c>
      <c r="D345">
        <v>3</v>
      </c>
      <c r="E345">
        <v>7</v>
      </c>
      <c r="F345">
        <v>23</v>
      </c>
      <c r="G345">
        <v>21</v>
      </c>
      <c r="H345" t="s">
        <v>404</v>
      </c>
      <c r="I345" t="s">
        <v>405</v>
      </c>
      <c r="J345" t="s">
        <v>383</v>
      </c>
      <c r="K345" t="s">
        <v>406</v>
      </c>
      <c r="L345">
        <v>2025</v>
      </c>
      <c r="M345" t="s">
        <v>24</v>
      </c>
      <c r="N345">
        <v>898.13</v>
      </c>
      <c r="O345">
        <v>15.2</v>
      </c>
      <c r="P345" s="3">
        <v>14.880560493388</v>
      </c>
      <c r="Q345">
        <v>0.52142959168868275</v>
      </c>
      <c r="R345" s="3">
        <v>47.612615981977797</v>
      </c>
      <c r="S345">
        <v>18.733286915200985</v>
      </c>
      <c r="T345" s="3">
        <f t="shared" si="15"/>
        <v>18.733286915200985</v>
      </c>
      <c r="U345">
        <f t="shared" si="16"/>
        <v>3.8527264218129851</v>
      </c>
    </row>
    <row r="346" spans="1:21" hidden="1" x14ac:dyDescent="0.25">
      <c r="A346" t="s">
        <v>41</v>
      </c>
      <c r="B346">
        <v>4</v>
      </c>
      <c r="C346">
        <v>14</v>
      </c>
      <c r="D346">
        <v>1</v>
      </c>
      <c r="E346">
        <v>2</v>
      </c>
      <c r="F346">
        <v>2</v>
      </c>
      <c r="G346">
        <v>20</v>
      </c>
      <c r="H346" t="s">
        <v>396</v>
      </c>
      <c r="I346" t="s">
        <v>392</v>
      </c>
      <c r="J346" t="s">
        <v>383</v>
      </c>
      <c r="K346" t="s">
        <v>397</v>
      </c>
      <c r="L346">
        <v>2025</v>
      </c>
      <c r="M346" t="s">
        <v>24</v>
      </c>
      <c r="N346">
        <v>938.95</v>
      </c>
      <c r="O346">
        <v>14.6</v>
      </c>
      <c r="P346" s="3">
        <v>15.666954104058901</v>
      </c>
      <c r="Q346">
        <v>0.87974995539003764</v>
      </c>
      <c r="R346" s="3">
        <v>51.469540544822827</v>
      </c>
      <c r="S346">
        <v>18.24530040596504</v>
      </c>
      <c r="T346" s="3">
        <f t="shared" si="15"/>
        <v>18.24530040596504</v>
      </c>
      <c r="U346">
        <f t="shared" si="16"/>
        <v>2.578346301906139</v>
      </c>
    </row>
    <row r="347" spans="1:21" hidden="1" x14ac:dyDescent="0.25">
      <c r="A347" t="s">
        <v>282</v>
      </c>
      <c r="B347">
        <v>14</v>
      </c>
      <c r="C347">
        <v>5</v>
      </c>
      <c r="D347">
        <v>1</v>
      </c>
      <c r="E347">
        <v>2</v>
      </c>
      <c r="F347">
        <v>2</v>
      </c>
      <c r="G347">
        <v>22</v>
      </c>
      <c r="H347" t="s">
        <v>401</v>
      </c>
      <c r="I347" t="s">
        <v>402</v>
      </c>
      <c r="J347" t="s">
        <v>383</v>
      </c>
      <c r="K347" t="s">
        <v>403</v>
      </c>
      <c r="L347">
        <v>2025</v>
      </c>
      <c r="M347" t="s">
        <v>24</v>
      </c>
      <c r="N347">
        <v>1070.5</v>
      </c>
      <c r="O347">
        <v>16.100000000000001</v>
      </c>
      <c r="P347" s="3">
        <v>17.548211765126901</v>
      </c>
      <c r="Q347">
        <v>2.3955792541856642</v>
      </c>
      <c r="R347" s="3">
        <v>53.785775534129101</v>
      </c>
      <c r="S347">
        <v>18.202400218380248</v>
      </c>
      <c r="T347" s="3">
        <f t="shared" si="15"/>
        <v>19.556096435465012</v>
      </c>
      <c r="U347">
        <f t="shared" si="16"/>
        <v>2.007884670338111</v>
      </c>
    </row>
    <row r="348" spans="1:21" hidden="1" x14ac:dyDescent="0.25">
      <c r="A348" t="s">
        <v>25</v>
      </c>
      <c r="B348">
        <v>6</v>
      </c>
      <c r="C348">
        <v>3</v>
      </c>
      <c r="D348">
        <v>1</v>
      </c>
      <c r="E348">
        <v>1</v>
      </c>
      <c r="F348">
        <v>1</v>
      </c>
      <c r="G348">
        <v>20</v>
      </c>
      <c r="H348" t="s">
        <v>385</v>
      </c>
      <c r="I348" t="s">
        <v>386</v>
      </c>
      <c r="J348" t="s">
        <v>383</v>
      </c>
      <c r="K348" t="s">
        <v>387</v>
      </c>
      <c r="L348">
        <v>2025</v>
      </c>
      <c r="M348" t="s">
        <v>24</v>
      </c>
      <c r="N348">
        <v>1025.1400000000001</v>
      </c>
      <c r="O348">
        <v>15.6</v>
      </c>
      <c r="P348" s="3">
        <v>16.904793127105702</v>
      </c>
      <c r="Q348">
        <v>1.408011886847679</v>
      </c>
      <c r="R348" s="3">
        <v>51.155699148839702</v>
      </c>
      <c r="S348">
        <v>19.807632715380404</v>
      </c>
      <c r="T348" s="3">
        <f t="shared" si="15"/>
        <v>19.807632715380404</v>
      </c>
      <c r="U348">
        <f t="shared" si="16"/>
        <v>2.902839588274702</v>
      </c>
    </row>
    <row r="349" spans="1:21" hidden="1" x14ac:dyDescent="0.25">
      <c r="A349" t="s">
        <v>37</v>
      </c>
      <c r="B349">
        <v>4</v>
      </c>
      <c r="C349">
        <v>15</v>
      </c>
      <c r="D349">
        <v>1</v>
      </c>
      <c r="E349">
        <v>2</v>
      </c>
      <c r="F349">
        <v>2</v>
      </c>
      <c r="G349">
        <v>19</v>
      </c>
      <c r="H349" t="s">
        <v>394</v>
      </c>
      <c r="I349" t="s">
        <v>392</v>
      </c>
      <c r="J349" t="s">
        <v>383</v>
      </c>
      <c r="K349" t="s">
        <v>395</v>
      </c>
      <c r="L349">
        <v>2025</v>
      </c>
      <c r="M349" t="s">
        <v>24</v>
      </c>
      <c r="N349">
        <v>911.74</v>
      </c>
      <c r="O349">
        <v>15.5</v>
      </c>
      <c r="P349" s="3">
        <v>15.052614929421599</v>
      </c>
      <c r="Q349">
        <v>0.86536469203369726</v>
      </c>
      <c r="R349" s="3">
        <v>51.314699008581513</v>
      </c>
      <c r="S349">
        <v>17.582754187423856</v>
      </c>
      <c r="T349" s="3">
        <f t="shared" si="15"/>
        <v>17.582754187423856</v>
      </c>
      <c r="U349">
        <f t="shared" si="16"/>
        <v>2.5301392580022561</v>
      </c>
    </row>
    <row r="350" spans="1:21" hidden="1" x14ac:dyDescent="0.25">
      <c r="A350" t="s">
        <v>45</v>
      </c>
      <c r="B350">
        <v>4</v>
      </c>
      <c r="C350">
        <v>32</v>
      </c>
      <c r="D350">
        <v>1</v>
      </c>
      <c r="E350">
        <v>2</v>
      </c>
      <c r="F350">
        <v>2</v>
      </c>
      <c r="G350">
        <v>21</v>
      </c>
      <c r="H350" t="s">
        <v>398</v>
      </c>
      <c r="I350" t="s">
        <v>399</v>
      </c>
      <c r="J350" t="s">
        <v>383</v>
      </c>
      <c r="K350" t="s">
        <v>400</v>
      </c>
      <c r="L350">
        <v>2025</v>
      </c>
      <c r="M350" t="s">
        <v>24</v>
      </c>
      <c r="N350">
        <v>893.59</v>
      </c>
      <c r="O350">
        <v>15.3</v>
      </c>
      <c r="P350" s="3">
        <v>14.7878809138859</v>
      </c>
      <c r="Q350">
        <v>0.99095873557099146</v>
      </c>
      <c r="R350" s="3">
        <v>51.666580733812602</v>
      </c>
      <c r="S350">
        <v>17.155878507714657</v>
      </c>
      <c r="T350" s="3">
        <f t="shared" si="15"/>
        <v>17.155878507714657</v>
      </c>
      <c r="U350">
        <f t="shared" si="16"/>
        <v>2.3679975938287576</v>
      </c>
    </row>
    <row r="351" spans="1:21" hidden="1" x14ac:dyDescent="0.25">
      <c r="A351" t="s">
        <v>53</v>
      </c>
      <c r="B351">
        <v>7</v>
      </c>
      <c r="C351">
        <v>13</v>
      </c>
      <c r="D351">
        <v>1</v>
      </c>
      <c r="E351">
        <v>3</v>
      </c>
      <c r="F351">
        <v>3</v>
      </c>
      <c r="G351">
        <v>20</v>
      </c>
      <c r="H351" t="s">
        <v>407</v>
      </c>
      <c r="I351" t="s">
        <v>392</v>
      </c>
      <c r="J351" t="s">
        <v>383</v>
      </c>
      <c r="K351" t="s">
        <v>408</v>
      </c>
      <c r="L351">
        <v>2025</v>
      </c>
      <c r="M351" t="s">
        <v>24</v>
      </c>
      <c r="N351">
        <v>911.74</v>
      </c>
      <c r="O351">
        <v>15</v>
      </c>
      <c r="P351" s="3">
        <v>15.1416836568146</v>
      </c>
      <c r="Q351">
        <v>1.2253867656277679</v>
      </c>
      <c r="R351" s="3">
        <v>30.189940606540699</v>
      </c>
      <c r="S351">
        <v>30.062746072207847</v>
      </c>
      <c r="T351" s="3">
        <f t="shared" si="15"/>
        <v>30.062746072207847</v>
      </c>
      <c r="U351">
        <f t="shared" si="16"/>
        <v>14.921062415393248</v>
      </c>
    </row>
    <row r="352" spans="1:21" hidden="1" x14ac:dyDescent="0.25">
      <c r="A352" t="s">
        <v>33</v>
      </c>
      <c r="B352">
        <v>6</v>
      </c>
      <c r="C352">
        <v>16</v>
      </c>
      <c r="D352">
        <v>1</v>
      </c>
      <c r="E352">
        <v>1</v>
      </c>
      <c r="F352">
        <v>1</v>
      </c>
      <c r="G352">
        <v>22</v>
      </c>
      <c r="H352" t="s">
        <v>391</v>
      </c>
      <c r="I352" t="s">
        <v>392</v>
      </c>
      <c r="J352" t="s">
        <v>383</v>
      </c>
      <c r="K352" t="s">
        <v>393</v>
      </c>
      <c r="L352">
        <v>2025</v>
      </c>
      <c r="M352" t="s">
        <v>24</v>
      </c>
      <c r="N352">
        <v>875.45</v>
      </c>
      <c r="O352">
        <v>12.8</v>
      </c>
      <c r="P352" s="3">
        <v>14.9153025137668</v>
      </c>
      <c r="Q352">
        <v>1.197129758521488</v>
      </c>
      <c r="R352" s="3">
        <v>47.885785007749398</v>
      </c>
      <c r="S352">
        <v>18.669908669775456</v>
      </c>
      <c r="T352" s="3">
        <f t="shared" si="15"/>
        <v>18.669908669775456</v>
      </c>
      <c r="U352">
        <f t="shared" si="16"/>
        <v>3.7546061560086557</v>
      </c>
    </row>
    <row r="353" spans="1:21" hidden="1" x14ac:dyDescent="0.25">
      <c r="A353" t="s">
        <v>29</v>
      </c>
      <c r="B353">
        <v>6</v>
      </c>
      <c r="C353">
        <v>7</v>
      </c>
      <c r="D353">
        <v>1</v>
      </c>
      <c r="E353">
        <v>1</v>
      </c>
      <c r="F353">
        <v>1</v>
      </c>
      <c r="G353">
        <v>21</v>
      </c>
      <c r="H353" t="s">
        <v>388</v>
      </c>
      <c r="I353" t="s">
        <v>389</v>
      </c>
      <c r="J353" t="s">
        <v>383</v>
      </c>
      <c r="K353" t="s">
        <v>390</v>
      </c>
      <c r="L353">
        <v>2025</v>
      </c>
      <c r="M353" t="s">
        <v>24</v>
      </c>
      <c r="N353">
        <v>830.09</v>
      </c>
      <c r="O353">
        <v>14.5</v>
      </c>
      <c r="P353" s="3">
        <v>13.8667769831388</v>
      </c>
      <c r="Q353">
        <v>1.13108778971721</v>
      </c>
      <c r="R353" s="3">
        <v>48.174915859737098</v>
      </c>
      <c r="S353">
        <v>17.253265470962752</v>
      </c>
      <c r="T353" s="3">
        <f t="shared" si="15"/>
        <v>17.253265470962752</v>
      </c>
      <c r="U353">
        <f t="shared" si="16"/>
        <v>3.3864884878239518</v>
      </c>
    </row>
    <row r="354" spans="1:21" hidden="1" x14ac:dyDescent="0.25">
      <c r="A354" t="s">
        <v>251</v>
      </c>
      <c r="B354">
        <v>6</v>
      </c>
      <c r="C354">
        <v>25</v>
      </c>
      <c r="D354">
        <v>4</v>
      </c>
      <c r="E354">
        <v>6</v>
      </c>
      <c r="F354">
        <v>24</v>
      </c>
      <c r="G354">
        <v>25</v>
      </c>
      <c r="H354" t="s">
        <v>454</v>
      </c>
      <c r="I354" t="s">
        <v>455</v>
      </c>
      <c r="J354" t="s">
        <v>456</v>
      </c>
      <c r="K354" t="s">
        <v>457</v>
      </c>
      <c r="L354">
        <v>2025</v>
      </c>
      <c r="M354" t="s">
        <v>24</v>
      </c>
      <c r="N354">
        <v>1088.6400000000001</v>
      </c>
      <c r="O354">
        <v>14.3</v>
      </c>
      <c r="P354">
        <v>18.228433311360099</v>
      </c>
      <c r="Q354">
        <v>1.2853295421596831</v>
      </c>
      <c r="R354" s="3">
        <v>33.835158658852599</v>
      </c>
      <c r="S354">
        <v>32.29221720812167</v>
      </c>
      <c r="T354" s="3">
        <f>IF(N354&lt;= 0, -9, N354/ 453.6 / (R354/ 43560) * ((100 - O354) / (100 - 18)) / 100)</f>
        <v>32.29221720812167</v>
      </c>
      <c r="U354">
        <f t="shared" si="16"/>
        <v>14.063783896761571</v>
      </c>
    </row>
    <row r="355" spans="1:21" hidden="1" x14ac:dyDescent="0.25">
      <c r="A355" t="s">
        <v>282</v>
      </c>
      <c r="B355">
        <v>11</v>
      </c>
      <c r="C355">
        <v>30</v>
      </c>
      <c r="D355">
        <v>1</v>
      </c>
      <c r="E355">
        <v>2</v>
      </c>
      <c r="F355">
        <v>2</v>
      </c>
      <c r="G355">
        <v>25</v>
      </c>
      <c r="H355" t="s">
        <v>475</v>
      </c>
      <c r="I355" t="s">
        <v>476</v>
      </c>
      <c r="J355" t="s">
        <v>456</v>
      </c>
      <c r="K355" t="s">
        <v>477</v>
      </c>
      <c r="L355">
        <v>2025</v>
      </c>
      <c r="M355" t="s">
        <v>24</v>
      </c>
      <c r="N355">
        <v>802.87</v>
      </c>
      <c r="O355">
        <v>15</v>
      </c>
      <c r="P355">
        <v>13.333629716308099</v>
      </c>
      <c r="Q355">
        <v>2.1905694116822061</v>
      </c>
      <c r="R355" s="3">
        <v>23.579070090406098</v>
      </c>
      <c r="S355">
        <v>33.895219876406252</v>
      </c>
      <c r="T355" s="3">
        <f t="shared" ref="T355:T418" si="17">IF(N355&lt;= 0, -9, N355/ 453.6 / (R355/ 43560) * ((100 - O355) / (100 - 18)) / 100)</f>
        <v>33.895219876406252</v>
      </c>
      <c r="U355">
        <f t="shared" si="16"/>
        <v>20.561590160098152</v>
      </c>
    </row>
    <row r="356" spans="1:21" hidden="1" x14ac:dyDescent="0.25">
      <c r="A356" t="s">
        <v>241</v>
      </c>
      <c r="B356">
        <v>14</v>
      </c>
      <c r="C356">
        <v>1</v>
      </c>
      <c r="D356">
        <v>4</v>
      </c>
      <c r="E356">
        <v>4</v>
      </c>
      <c r="F356">
        <v>22</v>
      </c>
      <c r="G356">
        <v>25</v>
      </c>
      <c r="H356" t="s">
        <v>528</v>
      </c>
      <c r="I356" t="s">
        <v>529</v>
      </c>
      <c r="J356" t="s">
        <v>456</v>
      </c>
      <c r="K356" t="s">
        <v>530</v>
      </c>
      <c r="L356">
        <v>2025</v>
      </c>
      <c r="M356" t="s">
        <v>24</v>
      </c>
      <c r="N356">
        <v>1333.58</v>
      </c>
      <c r="O356">
        <v>15.8</v>
      </c>
      <c r="P356">
        <v>21.938927823164502</v>
      </c>
      <c r="Q356">
        <v>2.4848434962391188</v>
      </c>
      <c r="R356" s="3">
        <v>29.7466069091682</v>
      </c>
      <c r="S356">
        <v>44.207372549612636</v>
      </c>
      <c r="T356" s="3">
        <f t="shared" si="17"/>
        <v>44.207372549612636</v>
      </c>
      <c r="U356">
        <f t="shared" si="16"/>
        <v>22.268444726448134</v>
      </c>
    </row>
    <row r="357" spans="1:21" hidden="1" x14ac:dyDescent="0.25">
      <c r="A357" t="s">
        <v>244</v>
      </c>
      <c r="B357">
        <v>16</v>
      </c>
      <c r="C357">
        <v>30</v>
      </c>
      <c r="D357">
        <v>4</v>
      </c>
      <c r="E357">
        <v>5</v>
      </c>
      <c r="F357">
        <v>23</v>
      </c>
      <c r="G357">
        <v>23</v>
      </c>
      <c r="H357" t="s">
        <v>475</v>
      </c>
      <c r="I357" t="s">
        <v>476</v>
      </c>
      <c r="J357" t="s">
        <v>456</v>
      </c>
      <c r="K357" t="s">
        <v>477</v>
      </c>
      <c r="L357">
        <v>2025</v>
      </c>
      <c r="M357" t="s">
        <v>24</v>
      </c>
      <c r="N357">
        <v>1075.03</v>
      </c>
      <c r="O357">
        <v>15.1</v>
      </c>
      <c r="P357">
        <v>17.832511319875799</v>
      </c>
      <c r="Q357">
        <v>2.6713629935575081</v>
      </c>
      <c r="R357" s="3">
        <v>38.754284126353703</v>
      </c>
      <c r="S357">
        <v>27.580969500775677</v>
      </c>
      <c r="T357" s="3">
        <f t="shared" si="17"/>
        <v>27.580969500775677</v>
      </c>
      <c r="U357">
        <f t="shared" si="16"/>
        <v>9.7484581808998776</v>
      </c>
    </row>
    <row r="358" spans="1:21" hidden="1" x14ac:dyDescent="0.25">
      <c r="A358" t="s">
        <v>536</v>
      </c>
      <c r="B358">
        <v>19</v>
      </c>
      <c r="C358">
        <v>11</v>
      </c>
      <c r="D358">
        <v>4</v>
      </c>
      <c r="E358">
        <v>3</v>
      </c>
      <c r="F358">
        <v>21</v>
      </c>
      <c r="G358">
        <v>27</v>
      </c>
      <c r="H358" t="s">
        <v>502</v>
      </c>
      <c r="I358" t="s">
        <v>503</v>
      </c>
      <c r="J358" t="s">
        <v>456</v>
      </c>
      <c r="K358" t="s">
        <v>480</v>
      </c>
      <c r="L358">
        <v>2025</v>
      </c>
      <c r="M358" t="s">
        <v>24</v>
      </c>
      <c r="N358">
        <v>1233.79</v>
      </c>
      <c r="O358">
        <v>14.2</v>
      </c>
      <c r="P358">
        <v>20.682963615958201</v>
      </c>
      <c r="Q358">
        <v>2.8333676755315031</v>
      </c>
      <c r="R358" s="3">
        <v>30.498086322653549</v>
      </c>
      <c r="S358">
        <v>40.649659982753576</v>
      </c>
      <c r="T358" s="3">
        <f t="shared" si="17"/>
        <v>40.649659982753576</v>
      </c>
      <c r="U358">
        <f t="shared" si="16"/>
        <v>19.966696366795375</v>
      </c>
    </row>
    <row r="359" spans="1:21" hidden="1" x14ac:dyDescent="0.25">
      <c r="A359" t="s">
        <v>192</v>
      </c>
      <c r="B359">
        <v>17</v>
      </c>
      <c r="C359">
        <v>30</v>
      </c>
      <c r="D359">
        <v>3</v>
      </c>
      <c r="E359">
        <v>1</v>
      </c>
      <c r="F359">
        <v>13</v>
      </c>
      <c r="G359">
        <v>25</v>
      </c>
      <c r="H359" t="s">
        <v>475</v>
      </c>
      <c r="I359" t="s">
        <v>476</v>
      </c>
      <c r="J359" t="s">
        <v>456</v>
      </c>
      <c r="K359" t="s">
        <v>477</v>
      </c>
      <c r="L359">
        <v>2025</v>
      </c>
      <c r="M359" t="s">
        <v>24</v>
      </c>
      <c r="N359">
        <v>843.7</v>
      </c>
      <c r="O359">
        <v>14.5</v>
      </c>
      <c r="P359">
        <v>14.094134058565</v>
      </c>
      <c r="Q359">
        <v>2.8404109371151689</v>
      </c>
      <c r="R359" s="3">
        <v>30.573899286013969</v>
      </c>
      <c r="S359">
        <v>27.631490100997294</v>
      </c>
      <c r="T359" s="3">
        <f t="shared" si="17"/>
        <v>27.631490100997294</v>
      </c>
      <c r="U359">
        <f t="shared" si="16"/>
        <v>13.537356042432293</v>
      </c>
    </row>
    <row r="360" spans="1:21" hidden="1" x14ac:dyDescent="0.25">
      <c r="A360" t="s">
        <v>202</v>
      </c>
      <c r="B360">
        <v>15</v>
      </c>
      <c r="C360">
        <v>4</v>
      </c>
      <c r="D360">
        <v>3</v>
      </c>
      <c r="E360">
        <v>3</v>
      </c>
      <c r="F360">
        <v>15</v>
      </c>
      <c r="G360">
        <v>26</v>
      </c>
      <c r="H360" t="s">
        <v>512</v>
      </c>
      <c r="I360" t="s">
        <v>513</v>
      </c>
      <c r="J360" t="s">
        <v>456</v>
      </c>
      <c r="K360" t="s">
        <v>514</v>
      </c>
      <c r="L360">
        <v>2025</v>
      </c>
      <c r="M360" t="s">
        <v>24</v>
      </c>
      <c r="N360">
        <v>1029.67</v>
      </c>
      <c r="O360">
        <v>13.9</v>
      </c>
      <c r="P360">
        <v>17.321497886775699</v>
      </c>
      <c r="Q360">
        <v>2.9267651557947838</v>
      </c>
      <c r="R360" s="3">
        <v>31.503407460459481</v>
      </c>
      <c r="S360">
        <v>32.956770934587347</v>
      </c>
      <c r="T360" s="3">
        <f t="shared" si="17"/>
        <v>32.956770934587347</v>
      </c>
      <c r="U360">
        <f t="shared" si="16"/>
        <v>15.635273047811648</v>
      </c>
    </row>
    <row r="361" spans="1:21" hidden="1" x14ac:dyDescent="0.25">
      <c r="A361" t="s">
        <v>230</v>
      </c>
      <c r="B361">
        <v>17</v>
      </c>
      <c r="C361">
        <v>4</v>
      </c>
      <c r="D361">
        <v>4</v>
      </c>
      <c r="E361">
        <v>2</v>
      </c>
      <c r="F361">
        <v>20</v>
      </c>
      <c r="G361">
        <v>23</v>
      </c>
      <c r="H361" t="s">
        <v>512</v>
      </c>
      <c r="I361" t="s">
        <v>513</v>
      </c>
      <c r="J361" t="s">
        <v>456</v>
      </c>
      <c r="K361" t="s">
        <v>514</v>
      </c>
      <c r="L361">
        <v>2025</v>
      </c>
      <c r="M361" t="s">
        <v>24</v>
      </c>
      <c r="N361">
        <v>1397.09</v>
      </c>
      <c r="O361">
        <v>13.9</v>
      </c>
      <c r="P361">
        <v>23.502375987098201</v>
      </c>
      <c r="Q361">
        <v>2.9521907170258839</v>
      </c>
      <c r="R361" s="3">
        <v>31.77708565899491</v>
      </c>
      <c r="S361">
        <v>44.331705927472505</v>
      </c>
      <c r="T361" s="3">
        <f t="shared" si="17"/>
        <v>44.331705927472505</v>
      </c>
      <c r="U361">
        <f t="shared" si="16"/>
        <v>20.829329940374304</v>
      </c>
    </row>
    <row r="362" spans="1:21" hidden="1" x14ac:dyDescent="0.25">
      <c r="A362" t="s">
        <v>177</v>
      </c>
      <c r="B362">
        <v>21</v>
      </c>
      <c r="C362">
        <v>4</v>
      </c>
      <c r="D362">
        <v>2</v>
      </c>
      <c r="E362">
        <v>5</v>
      </c>
      <c r="F362">
        <v>11</v>
      </c>
      <c r="G362">
        <v>25</v>
      </c>
      <c r="H362" t="s">
        <v>512</v>
      </c>
      <c r="I362" t="s">
        <v>513</v>
      </c>
      <c r="J362" t="s">
        <v>456</v>
      </c>
      <c r="K362" t="s">
        <v>514</v>
      </c>
      <c r="L362">
        <v>2025</v>
      </c>
      <c r="M362" t="s">
        <v>24</v>
      </c>
      <c r="N362">
        <v>1610.28</v>
      </c>
      <c r="O362">
        <v>13.4</v>
      </c>
      <c r="P362">
        <v>27.246048487511899</v>
      </c>
      <c r="Q362">
        <v>3.060535760916562</v>
      </c>
      <c r="R362" s="3">
        <v>39.943300876929797</v>
      </c>
      <c r="S362">
        <v>40.886158892409291</v>
      </c>
      <c r="T362" s="3">
        <f t="shared" si="17"/>
        <v>40.886158892409291</v>
      </c>
      <c r="U362">
        <f t="shared" si="16"/>
        <v>13.640110404897392</v>
      </c>
    </row>
    <row r="363" spans="1:21" hidden="1" x14ac:dyDescent="0.25">
      <c r="A363" t="s">
        <v>194</v>
      </c>
      <c r="B363">
        <v>22</v>
      </c>
      <c r="C363">
        <v>25</v>
      </c>
      <c r="D363">
        <v>3</v>
      </c>
      <c r="E363">
        <v>1</v>
      </c>
      <c r="F363">
        <v>13</v>
      </c>
      <c r="G363">
        <v>27</v>
      </c>
      <c r="H363" t="s">
        <v>454</v>
      </c>
      <c r="I363" t="s">
        <v>455</v>
      </c>
      <c r="J363" t="s">
        <v>456</v>
      </c>
      <c r="K363" t="s">
        <v>457</v>
      </c>
      <c r="L363">
        <v>2025</v>
      </c>
      <c r="M363" t="s">
        <v>24</v>
      </c>
      <c r="N363">
        <v>1143.07</v>
      </c>
      <c r="O363">
        <v>13.7</v>
      </c>
      <c r="P363">
        <v>19.273822572411099</v>
      </c>
      <c r="Q363">
        <v>3.102661611286031</v>
      </c>
      <c r="R363" s="3">
        <v>33.39673931772171</v>
      </c>
      <c r="S363">
        <v>34.592386819550519</v>
      </c>
      <c r="T363" s="3">
        <f t="shared" si="17"/>
        <v>34.592386819550519</v>
      </c>
      <c r="U363">
        <f t="shared" si="16"/>
        <v>15.31856424713942</v>
      </c>
    </row>
    <row r="364" spans="1:21" hidden="1" x14ac:dyDescent="0.25">
      <c r="A364" t="s">
        <v>238</v>
      </c>
      <c r="B364">
        <v>20</v>
      </c>
      <c r="C364">
        <v>2</v>
      </c>
      <c r="D364">
        <v>4</v>
      </c>
      <c r="E364">
        <v>3</v>
      </c>
      <c r="F364">
        <v>21</v>
      </c>
      <c r="G364">
        <v>26</v>
      </c>
      <c r="H364" t="s">
        <v>496</v>
      </c>
      <c r="I364" t="s">
        <v>497</v>
      </c>
      <c r="J364" t="s">
        <v>456</v>
      </c>
      <c r="K364" t="s">
        <v>498</v>
      </c>
      <c r="L364">
        <v>2025</v>
      </c>
      <c r="M364" t="s">
        <v>24</v>
      </c>
      <c r="N364">
        <v>1220.18</v>
      </c>
      <c r="O364">
        <v>14.5</v>
      </c>
      <c r="P364">
        <v>20.383288485930802</v>
      </c>
      <c r="Q364">
        <v>3.2895525674668069</v>
      </c>
      <c r="R364" s="3">
        <v>35.408414880955959</v>
      </c>
      <c r="S364">
        <v>34.505196461189463</v>
      </c>
      <c r="T364" s="3">
        <f t="shared" si="17"/>
        <v>34.505196461189463</v>
      </c>
      <c r="U364">
        <f t="shared" si="16"/>
        <v>14.121907975258662</v>
      </c>
    </row>
    <row r="365" spans="1:21" hidden="1" x14ac:dyDescent="0.25">
      <c r="A365" t="s">
        <v>19</v>
      </c>
      <c r="B365">
        <v>18</v>
      </c>
      <c r="C365">
        <v>25</v>
      </c>
      <c r="D365">
        <v>1</v>
      </c>
      <c r="E365">
        <v>1</v>
      </c>
      <c r="F365">
        <v>1</v>
      </c>
      <c r="G365">
        <v>23</v>
      </c>
      <c r="H365" t="s">
        <v>454</v>
      </c>
      <c r="I365" t="s">
        <v>455</v>
      </c>
      <c r="J365" t="s">
        <v>456</v>
      </c>
      <c r="K365" t="s">
        <v>457</v>
      </c>
      <c r="L365">
        <v>2025</v>
      </c>
      <c r="M365" t="s">
        <v>24</v>
      </c>
      <c r="N365">
        <v>530.71</v>
      </c>
      <c r="O365">
        <v>13.56</v>
      </c>
      <c r="P365">
        <v>8.9630591689896093</v>
      </c>
      <c r="Q365">
        <v>3.3084036126009422</v>
      </c>
      <c r="R365" s="3">
        <v>35.611325645675272</v>
      </c>
      <c r="S365">
        <v>15.086373698488863</v>
      </c>
      <c r="T365" s="3">
        <f t="shared" si="17"/>
        <v>15.086373698488863</v>
      </c>
      <c r="U365">
        <f t="shared" si="16"/>
        <v>6.1233145294992539</v>
      </c>
    </row>
    <row r="366" spans="1:21" hidden="1" x14ac:dyDescent="0.25">
      <c r="A366" t="s">
        <v>166</v>
      </c>
      <c r="B366">
        <v>16</v>
      </c>
      <c r="C366">
        <v>25</v>
      </c>
      <c r="D366">
        <v>2</v>
      </c>
      <c r="E366">
        <v>3</v>
      </c>
      <c r="F366">
        <v>9</v>
      </c>
      <c r="G366">
        <v>26</v>
      </c>
      <c r="H366" t="s">
        <v>454</v>
      </c>
      <c r="I366" t="s">
        <v>455</v>
      </c>
      <c r="J366" t="s">
        <v>456</v>
      </c>
      <c r="K366" t="s">
        <v>457</v>
      </c>
      <c r="L366">
        <v>2025</v>
      </c>
      <c r="M366" t="s">
        <v>24</v>
      </c>
      <c r="N366">
        <v>1183.9000000000001</v>
      </c>
      <c r="O366">
        <v>14</v>
      </c>
      <c r="P366">
        <v>19.892881977344501</v>
      </c>
      <c r="Q366">
        <v>3.3772896814435458</v>
      </c>
      <c r="R366" s="3">
        <v>36.352808402090183</v>
      </c>
      <c r="S366">
        <v>32.800198887893082</v>
      </c>
      <c r="T366" s="3">
        <f t="shared" si="17"/>
        <v>32.800198887893082</v>
      </c>
      <c r="U366">
        <f t="shared" si="16"/>
        <v>12.90731691054858</v>
      </c>
    </row>
    <row r="367" spans="1:21" hidden="1" x14ac:dyDescent="0.25">
      <c r="A367" t="s">
        <v>247</v>
      </c>
      <c r="B367">
        <v>22</v>
      </c>
      <c r="C367">
        <v>20</v>
      </c>
      <c r="D367">
        <v>4</v>
      </c>
      <c r="E367">
        <v>5</v>
      </c>
      <c r="F367">
        <v>23</v>
      </c>
      <c r="G367">
        <v>26</v>
      </c>
      <c r="H367" t="s">
        <v>470</v>
      </c>
      <c r="I367" t="s">
        <v>459</v>
      </c>
      <c r="J367" t="s">
        <v>456</v>
      </c>
      <c r="K367" t="s">
        <v>471</v>
      </c>
      <c r="L367">
        <v>2025</v>
      </c>
      <c r="M367" t="s">
        <v>24</v>
      </c>
      <c r="N367">
        <v>1301.83</v>
      </c>
      <c r="O367">
        <v>14.5</v>
      </c>
      <c r="P367">
        <v>21.747263886999701</v>
      </c>
      <c r="Q367">
        <v>3.8025718163179461</v>
      </c>
      <c r="R367" s="3">
        <v>40.930502773664728</v>
      </c>
      <c r="S367">
        <v>31.847422070404424</v>
      </c>
      <c r="T367" s="3">
        <f t="shared" si="17"/>
        <v>31.847422070404424</v>
      </c>
      <c r="U367">
        <f t="shared" si="16"/>
        <v>10.100158183404723</v>
      </c>
    </row>
    <row r="368" spans="1:21" hidden="1" x14ac:dyDescent="0.25">
      <c r="A368" t="s">
        <v>167</v>
      </c>
      <c r="B368">
        <v>29</v>
      </c>
      <c r="C368">
        <v>30</v>
      </c>
      <c r="D368">
        <v>2</v>
      </c>
      <c r="E368">
        <v>3</v>
      </c>
      <c r="F368">
        <v>9</v>
      </c>
      <c r="G368">
        <v>27</v>
      </c>
      <c r="H368" t="s">
        <v>475</v>
      </c>
      <c r="I368" t="s">
        <v>476</v>
      </c>
      <c r="J368" t="s">
        <v>456</v>
      </c>
      <c r="K368" t="s">
        <v>477</v>
      </c>
      <c r="L368">
        <v>2025</v>
      </c>
      <c r="M368" t="s">
        <v>24</v>
      </c>
      <c r="N368">
        <v>1179.3599999999999</v>
      </c>
      <c r="O368">
        <v>14.7</v>
      </c>
      <c r="P368">
        <v>19.655299201640702</v>
      </c>
      <c r="Q368">
        <v>3.8058435830944051</v>
      </c>
      <c r="R368" s="3">
        <v>40.965719744069858</v>
      </c>
      <c r="S368">
        <v>28.759134259245794</v>
      </c>
      <c r="T368" s="3">
        <f t="shared" si="17"/>
        <v>28.759134259245794</v>
      </c>
      <c r="U368">
        <f t="shared" si="16"/>
        <v>9.1038350576050924</v>
      </c>
    </row>
    <row r="369" spans="1:21" hidden="1" x14ac:dyDescent="0.25">
      <c r="A369" t="s">
        <v>242</v>
      </c>
      <c r="B369">
        <v>23</v>
      </c>
      <c r="C369">
        <v>17</v>
      </c>
      <c r="D369">
        <v>4</v>
      </c>
      <c r="E369">
        <v>4</v>
      </c>
      <c r="F369">
        <v>22</v>
      </c>
      <c r="G369">
        <v>26</v>
      </c>
      <c r="H369" t="s">
        <v>533</v>
      </c>
      <c r="I369" t="s">
        <v>534</v>
      </c>
      <c r="J369" t="s">
        <v>456</v>
      </c>
      <c r="K369" t="s">
        <v>535</v>
      </c>
      <c r="L369">
        <v>2025</v>
      </c>
      <c r="M369" t="s">
        <v>24</v>
      </c>
      <c r="N369">
        <v>1238.33</v>
      </c>
      <c r="O369">
        <v>14.2</v>
      </c>
      <c r="P369">
        <v>20.759071101686299</v>
      </c>
      <c r="Q369">
        <v>3.8682314479270592</v>
      </c>
      <c r="R369" s="3">
        <v>41.637256482342067</v>
      </c>
      <c r="S369">
        <v>29.884262964414326</v>
      </c>
      <c r="T369" s="3">
        <f t="shared" si="17"/>
        <v>29.884262964414326</v>
      </c>
      <c r="U369">
        <f t="shared" si="16"/>
        <v>9.1251918627280268</v>
      </c>
    </row>
    <row r="370" spans="1:21" hidden="1" x14ac:dyDescent="0.25">
      <c r="A370" t="s">
        <v>213</v>
      </c>
      <c r="B370">
        <v>43</v>
      </c>
      <c r="C370">
        <v>6</v>
      </c>
      <c r="D370">
        <v>3</v>
      </c>
      <c r="E370">
        <v>5</v>
      </c>
      <c r="F370">
        <v>17</v>
      </c>
      <c r="G370">
        <v>27</v>
      </c>
      <c r="H370" t="s">
        <v>525</v>
      </c>
      <c r="I370" t="s">
        <v>526</v>
      </c>
      <c r="J370" t="s">
        <v>456</v>
      </c>
      <c r="K370" t="s">
        <v>527</v>
      </c>
      <c r="L370">
        <v>2025</v>
      </c>
      <c r="M370" t="s">
        <v>24</v>
      </c>
      <c r="N370">
        <v>1111.32</v>
      </c>
      <c r="O370">
        <v>13.7</v>
      </c>
      <c r="P370">
        <v>18.7384713982275</v>
      </c>
      <c r="Q370">
        <v>3.9138987519121411</v>
      </c>
      <c r="R370" s="3">
        <v>42.128814775707092</v>
      </c>
      <c r="S370">
        <v>26.660706729813395</v>
      </c>
      <c r="T370" s="3">
        <f t="shared" si="17"/>
        <v>26.660706729813395</v>
      </c>
      <c r="U370">
        <f t="shared" si="16"/>
        <v>7.9222353315858953</v>
      </c>
    </row>
    <row r="371" spans="1:21" hidden="1" x14ac:dyDescent="0.25">
      <c r="A371" t="s">
        <v>253</v>
      </c>
      <c r="B371">
        <v>26</v>
      </c>
      <c r="C371">
        <v>23</v>
      </c>
      <c r="D371">
        <v>4</v>
      </c>
      <c r="E371">
        <v>6</v>
      </c>
      <c r="F371">
        <v>24</v>
      </c>
      <c r="G371">
        <v>27</v>
      </c>
      <c r="H371" t="s">
        <v>458</v>
      </c>
      <c r="I371" t="s">
        <v>459</v>
      </c>
      <c r="J371" t="s">
        <v>456</v>
      </c>
      <c r="K371" t="s">
        <v>460</v>
      </c>
      <c r="L371">
        <v>2025</v>
      </c>
      <c r="M371" t="s">
        <v>24</v>
      </c>
      <c r="N371">
        <v>1351.73</v>
      </c>
      <c r="O371">
        <v>14.8</v>
      </c>
      <c r="P371">
        <v>22.5016197575818</v>
      </c>
      <c r="Q371">
        <v>3.9774957081724431</v>
      </c>
      <c r="R371" s="3">
        <v>42.813366053197363</v>
      </c>
      <c r="S371">
        <v>31.502944351387381</v>
      </c>
      <c r="T371" s="3">
        <f t="shared" si="17"/>
        <v>31.502944351387381</v>
      </c>
      <c r="U371">
        <f t="shared" si="16"/>
        <v>9.001324593805581</v>
      </c>
    </row>
    <row r="372" spans="1:21" hidden="1" x14ac:dyDescent="0.25">
      <c r="A372" t="s">
        <v>95</v>
      </c>
      <c r="B372">
        <v>24</v>
      </c>
      <c r="C372">
        <v>4</v>
      </c>
      <c r="D372">
        <v>1</v>
      </c>
      <c r="E372">
        <v>5</v>
      </c>
      <c r="F372">
        <v>5</v>
      </c>
      <c r="G372">
        <v>24</v>
      </c>
      <c r="H372" t="s">
        <v>512</v>
      </c>
      <c r="I372" t="s">
        <v>513</v>
      </c>
      <c r="J372" t="s">
        <v>456</v>
      </c>
      <c r="K372" t="s">
        <v>514</v>
      </c>
      <c r="L372">
        <v>2025</v>
      </c>
      <c r="M372" t="s">
        <v>24</v>
      </c>
      <c r="N372">
        <v>1451.52</v>
      </c>
      <c r="O372">
        <v>10.4</v>
      </c>
      <c r="P372">
        <v>25.410620376474</v>
      </c>
      <c r="Q372">
        <v>3.986915862008078</v>
      </c>
      <c r="R372" s="3">
        <v>42.914763647068753</v>
      </c>
      <c r="S372">
        <v>35.491575763807987</v>
      </c>
      <c r="T372" s="3">
        <f t="shared" si="17"/>
        <v>35.491575763807987</v>
      </c>
      <c r="U372">
        <f t="shared" si="16"/>
        <v>10.080955387333987</v>
      </c>
    </row>
    <row r="373" spans="1:21" hidden="1" x14ac:dyDescent="0.25">
      <c r="A373" t="s">
        <v>243</v>
      </c>
      <c r="B373">
        <v>29</v>
      </c>
      <c r="C373">
        <v>8</v>
      </c>
      <c r="D373">
        <v>4</v>
      </c>
      <c r="E373">
        <v>4</v>
      </c>
      <c r="F373">
        <v>22</v>
      </c>
      <c r="G373">
        <v>27</v>
      </c>
      <c r="H373" t="s">
        <v>522</v>
      </c>
      <c r="I373" t="s">
        <v>523</v>
      </c>
      <c r="J373" t="s">
        <v>456</v>
      </c>
      <c r="K373" t="s">
        <v>524</v>
      </c>
      <c r="L373">
        <v>2025</v>
      </c>
      <c r="M373" t="s">
        <v>24</v>
      </c>
      <c r="N373">
        <v>1265.54</v>
      </c>
      <c r="O373">
        <v>12.8</v>
      </c>
      <c r="P373">
        <v>21.561382081526599</v>
      </c>
      <c r="Q373">
        <v>4.0014883643561632</v>
      </c>
      <c r="R373" s="3">
        <v>43.071620605093301</v>
      </c>
      <c r="S373">
        <v>30.005586597637279</v>
      </c>
      <c r="T373" s="3">
        <f t="shared" si="17"/>
        <v>30.005586597637279</v>
      </c>
      <c r="U373">
        <f t="shared" si="16"/>
        <v>8.4442045161106805</v>
      </c>
    </row>
    <row r="374" spans="1:21" hidden="1" x14ac:dyDescent="0.25">
      <c r="A374" t="s">
        <v>25</v>
      </c>
      <c r="B374">
        <v>28</v>
      </c>
      <c r="C374">
        <v>23</v>
      </c>
      <c r="D374">
        <v>1</v>
      </c>
      <c r="E374">
        <v>1</v>
      </c>
      <c r="F374">
        <v>1</v>
      </c>
      <c r="G374">
        <v>24</v>
      </c>
      <c r="H374" t="s">
        <v>458</v>
      </c>
      <c r="I374" t="s">
        <v>459</v>
      </c>
      <c r="J374" t="s">
        <v>456</v>
      </c>
      <c r="K374" t="s">
        <v>460</v>
      </c>
      <c r="L374">
        <v>2025</v>
      </c>
      <c r="M374" t="s">
        <v>24</v>
      </c>
      <c r="N374">
        <v>1056.8900000000001</v>
      </c>
      <c r="O374">
        <v>14.1</v>
      </c>
      <c r="P374">
        <v>17.738103587843899</v>
      </c>
      <c r="Q374">
        <v>4.057890687275532</v>
      </c>
      <c r="R374" s="3">
        <v>43.6787295687651</v>
      </c>
      <c r="S374">
        <v>24.341869361870771</v>
      </c>
      <c r="T374" s="3">
        <f t="shared" si="17"/>
        <v>24.341869361870771</v>
      </c>
      <c r="U374">
        <f t="shared" si="16"/>
        <v>6.603765774026872</v>
      </c>
    </row>
    <row r="375" spans="1:21" hidden="1" x14ac:dyDescent="0.25">
      <c r="A375" t="s">
        <v>226</v>
      </c>
      <c r="B375">
        <v>51</v>
      </c>
      <c r="C375">
        <v>29</v>
      </c>
      <c r="D375">
        <v>4</v>
      </c>
      <c r="E375">
        <v>1</v>
      </c>
      <c r="F375">
        <v>19</v>
      </c>
      <c r="G375">
        <v>24</v>
      </c>
      <c r="H375" t="s">
        <v>487</v>
      </c>
      <c r="I375" t="s">
        <v>488</v>
      </c>
      <c r="J375" t="s">
        <v>456</v>
      </c>
      <c r="K375" t="s">
        <v>480</v>
      </c>
      <c r="L375">
        <v>2025</v>
      </c>
      <c r="M375" t="s">
        <v>24</v>
      </c>
      <c r="N375">
        <v>879.98</v>
      </c>
      <c r="O375">
        <v>14.5</v>
      </c>
      <c r="P375">
        <v>14.7001968577172</v>
      </c>
      <c r="Q375">
        <v>4.1540013043573563</v>
      </c>
      <c r="R375" s="3">
        <v>44.713254639972142</v>
      </c>
      <c r="S375">
        <v>19.706232676336377</v>
      </c>
      <c r="T375" s="3">
        <f t="shared" si="17"/>
        <v>19.706232676336377</v>
      </c>
      <c r="U375">
        <f t="shared" si="16"/>
        <v>5.0060358186191767</v>
      </c>
    </row>
    <row r="376" spans="1:21" hidden="1" x14ac:dyDescent="0.25">
      <c r="A376" t="s">
        <v>193</v>
      </c>
      <c r="B376">
        <v>28</v>
      </c>
      <c r="C376">
        <v>11</v>
      </c>
      <c r="D376">
        <v>3</v>
      </c>
      <c r="E376">
        <v>1</v>
      </c>
      <c r="F376">
        <v>13</v>
      </c>
      <c r="G376">
        <v>26</v>
      </c>
      <c r="H376" t="s">
        <v>502</v>
      </c>
      <c r="I376" t="s">
        <v>503</v>
      </c>
      <c r="J376" t="s">
        <v>456</v>
      </c>
      <c r="K376" t="s">
        <v>480</v>
      </c>
      <c r="L376">
        <v>2025</v>
      </c>
      <c r="M376" t="s">
        <v>24</v>
      </c>
      <c r="N376">
        <v>1256.47</v>
      </c>
      <c r="O376">
        <v>14.3</v>
      </c>
      <c r="P376">
        <v>21.0386166250778</v>
      </c>
      <c r="Q376">
        <v>4.2031922235392436</v>
      </c>
      <c r="R376" s="3">
        <v>45.242740774954058</v>
      </c>
      <c r="S376">
        <v>27.873083259475514</v>
      </c>
      <c r="T376" s="3">
        <f t="shared" si="17"/>
        <v>27.873083259475514</v>
      </c>
      <c r="U376">
        <f t="shared" si="16"/>
        <v>6.8344666343977138</v>
      </c>
    </row>
    <row r="377" spans="1:21" hidden="1" x14ac:dyDescent="0.25">
      <c r="A377" t="s">
        <v>41</v>
      </c>
      <c r="B377">
        <v>29</v>
      </c>
      <c r="C377">
        <v>20</v>
      </c>
      <c r="D377">
        <v>1</v>
      </c>
      <c r="E377">
        <v>2</v>
      </c>
      <c r="F377">
        <v>2</v>
      </c>
      <c r="G377">
        <v>23</v>
      </c>
      <c r="H377" t="s">
        <v>470</v>
      </c>
      <c r="I377" t="s">
        <v>459</v>
      </c>
      <c r="J377" t="s">
        <v>456</v>
      </c>
      <c r="K377" t="s">
        <v>471</v>
      </c>
      <c r="L377">
        <v>2025</v>
      </c>
      <c r="M377" t="s">
        <v>24</v>
      </c>
      <c r="N377">
        <v>1165.75</v>
      </c>
      <c r="O377">
        <v>15.4</v>
      </c>
      <c r="P377">
        <v>19.269037475338301</v>
      </c>
      <c r="Q377">
        <v>4.205806727771483</v>
      </c>
      <c r="R377" s="3">
        <v>45.270883037059463</v>
      </c>
      <c r="S377">
        <v>25.512780595118656</v>
      </c>
      <c r="T377" s="3">
        <f t="shared" si="17"/>
        <v>25.512780595118656</v>
      </c>
      <c r="U377">
        <f t="shared" si="16"/>
        <v>6.2437431197803548</v>
      </c>
    </row>
    <row r="378" spans="1:21" hidden="1" x14ac:dyDescent="0.25">
      <c r="A378" t="s">
        <v>29</v>
      </c>
      <c r="B378">
        <v>28</v>
      </c>
      <c r="C378">
        <v>16</v>
      </c>
      <c r="D378">
        <v>1</v>
      </c>
      <c r="E378">
        <v>1</v>
      </c>
      <c r="F378">
        <v>1</v>
      </c>
      <c r="G378">
        <v>25</v>
      </c>
      <c r="H378" t="s">
        <v>461</v>
      </c>
      <c r="I378" t="s">
        <v>462</v>
      </c>
      <c r="J378" t="s">
        <v>456</v>
      </c>
      <c r="K378" t="s">
        <v>463</v>
      </c>
      <c r="L378">
        <v>2025</v>
      </c>
      <c r="M378" t="s">
        <v>24</v>
      </c>
      <c r="N378">
        <v>884.52</v>
      </c>
      <c r="O378">
        <v>13.1</v>
      </c>
      <c r="P378">
        <v>15.017985058229</v>
      </c>
      <c r="Q378">
        <v>4.2229294278623284</v>
      </c>
      <c r="R378" s="3">
        <v>45.455190068567298</v>
      </c>
      <c r="S378">
        <v>19.803635691157865</v>
      </c>
      <c r="T378" s="3">
        <f t="shared" si="17"/>
        <v>19.803635691157865</v>
      </c>
      <c r="U378">
        <f t="shared" si="16"/>
        <v>4.7856506329288653</v>
      </c>
    </row>
    <row r="379" spans="1:21" hidden="1" x14ac:dyDescent="0.25">
      <c r="A379" t="s">
        <v>162</v>
      </c>
      <c r="B379">
        <v>48</v>
      </c>
      <c r="C379">
        <v>13</v>
      </c>
      <c r="D379">
        <v>2</v>
      </c>
      <c r="E379">
        <v>2</v>
      </c>
      <c r="F379">
        <v>8</v>
      </c>
      <c r="G379">
        <v>27</v>
      </c>
      <c r="H379" t="s">
        <v>518</v>
      </c>
      <c r="I379" t="s">
        <v>485</v>
      </c>
      <c r="J379" t="s">
        <v>456</v>
      </c>
      <c r="K379" t="s">
        <v>519</v>
      </c>
      <c r="L379">
        <v>2025</v>
      </c>
      <c r="M379" t="s">
        <v>24</v>
      </c>
      <c r="N379">
        <v>1800.79</v>
      </c>
      <c r="O379">
        <v>14.6</v>
      </c>
      <c r="P379">
        <v>30.047280772190401</v>
      </c>
      <c r="Q379">
        <v>4.2420049942215332</v>
      </c>
      <c r="R379" s="3">
        <v>45.660517557301162</v>
      </c>
      <c r="S379">
        <v>39.444012153933805</v>
      </c>
      <c r="T379" s="3">
        <f t="shared" si="17"/>
        <v>39.444012153933805</v>
      </c>
      <c r="U379">
        <f t="shared" si="16"/>
        <v>9.3967313817434039</v>
      </c>
    </row>
    <row r="380" spans="1:21" hidden="1" x14ac:dyDescent="0.25">
      <c r="A380" t="s">
        <v>234</v>
      </c>
      <c r="B380">
        <v>40</v>
      </c>
      <c r="C380">
        <v>13</v>
      </c>
      <c r="D380">
        <v>4</v>
      </c>
      <c r="E380">
        <v>2</v>
      </c>
      <c r="F380">
        <v>20</v>
      </c>
      <c r="G380">
        <v>27</v>
      </c>
      <c r="H380" t="s">
        <v>518</v>
      </c>
      <c r="I380" t="s">
        <v>485</v>
      </c>
      <c r="J380" t="s">
        <v>456</v>
      </c>
      <c r="K380" t="s">
        <v>519</v>
      </c>
      <c r="L380">
        <v>2025</v>
      </c>
      <c r="M380" t="s">
        <v>24</v>
      </c>
      <c r="N380">
        <v>1188.43</v>
      </c>
      <c r="O380">
        <v>14.6</v>
      </c>
      <c r="P380">
        <v>19.829680244833799</v>
      </c>
      <c r="Q380">
        <v>4.2495468579500253</v>
      </c>
      <c r="R380" s="3">
        <v>45.741697424288283</v>
      </c>
      <c r="S380">
        <v>25.984847541845078</v>
      </c>
      <c r="T380" s="3">
        <f t="shared" si="17"/>
        <v>25.984847541845078</v>
      </c>
      <c r="U380">
        <f t="shared" si="16"/>
        <v>6.1551672970112783</v>
      </c>
    </row>
    <row r="381" spans="1:21" hidden="1" x14ac:dyDescent="0.25">
      <c r="A381" t="s">
        <v>232</v>
      </c>
      <c r="B381">
        <v>33</v>
      </c>
      <c r="C381">
        <v>18</v>
      </c>
      <c r="D381">
        <v>4</v>
      </c>
      <c r="E381">
        <v>2</v>
      </c>
      <c r="F381">
        <v>20</v>
      </c>
      <c r="G381">
        <v>25</v>
      </c>
      <c r="H381" t="s">
        <v>509</v>
      </c>
      <c r="I381" t="s">
        <v>510</v>
      </c>
      <c r="J381" t="s">
        <v>456</v>
      </c>
      <c r="K381" t="s">
        <v>511</v>
      </c>
      <c r="L381">
        <v>2025</v>
      </c>
      <c r="M381" t="s">
        <v>24</v>
      </c>
      <c r="N381">
        <v>1664.71</v>
      </c>
      <c r="O381">
        <v>15.3</v>
      </c>
      <c r="P381">
        <v>27.549024984786001</v>
      </c>
      <c r="Q381">
        <v>4.2872685984517602</v>
      </c>
      <c r="R381" s="3">
        <v>46.147730466874897</v>
      </c>
      <c r="S381">
        <v>35.782660184629883</v>
      </c>
      <c r="T381" s="3">
        <f t="shared" si="17"/>
        <v>35.782660184629883</v>
      </c>
      <c r="U381">
        <f t="shared" si="16"/>
        <v>8.2336351998438815</v>
      </c>
    </row>
    <row r="382" spans="1:21" hidden="1" x14ac:dyDescent="0.25">
      <c r="A382" t="s">
        <v>245</v>
      </c>
      <c r="B382">
        <v>30</v>
      </c>
      <c r="C382">
        <v>12</v>
      </c>
      <c r="D382">
        <v>4</v>
      </c>
      <c r="E382">
        <v>5</v>
      </c>
      <c r="F382">
        <v>23</v>
      </c>
      <c r="G382">
        <v>24</v>
      </c>
      <c r="H382" t="s">
        <v>478</v>
      </c>
      <c r="I382" t="s">
        <v>479</v>
      </c>
      <c r="J382" t="s">
        <v>456</v>
      </c>
      <c r="K382" t="s">
        <v>480</v>
      </c>
      <c r="L382">
        <v>2025</v>
      </c>
      <c r="M382" t="s">
        <v>24</v>
      </c>
      <c r="N382">
        <v>1088.6400000000001</v>
      </c>
      <c r="O382">
        <v>14.5</v>
      </c>
      <c r="P382">
        <v>18.185893210283499</v>
      </c>
      <c r="Q382">
        <v>4.3019281066126904</v>
      </c>
      <c r="R382" s="3">
        <v>46.305523946768339</v>
      </c>
      <c r="S382">
        <v>23.54065662398073</v>
      </c>
      <c r="T382" s="3">
        <f t="shared" si="17"/>
        <v>23.54065662398073</v>
      </c>
      <c r="U382">
        <f t="shared" si="16"/>
        <v>5.3547634136972313</v>
      </c>
    </row>
    <row r="383" spans="1:21" hidden="1" x14ac:dyDescent="0.25">
      <c r="A383" t="s">
        <v>206</v>
      </c>
      <c r="B383">
        <v>53</v>
      </c>
      <c r="C383">
        <v>16</v>
      </c>
      <c r="D383">
        <v>3</v>
      </c>
      <c r="E383">
        <v>4</v>
      </c>
      <c r="F383">
        <v>16</v>
      </c>
      <c r="G383">
        <v>25</v>
      </c>
      <c r="H383" t="s">
        <v>461</v>
      </c>
      <c r="I383" t="s">
        <v>462</v>
      </c>
      <c r="J383" t="s">
        <v>456</v>
      </c>
      <c r="K383" t="s">
        <v>463</v>
      </c>
      <c r="L383">
        <v>2025</v>
      </c>
      <c r="M383" t="s">
        <v>24</v>
      </c>
      <c r="N383">
        <v>1265.54</v>
      </c>
      <c r="O383">
        <v>13.7</v>
      </c>
      <c r="P383">
        <v>21.338844881143899</v>
      </c>
      <c r="Q383">
        <v>4.3463782219051836</v>
      </c>
      <c r="R383" s="3">
        <v>46.783980542765207</v>
      </c>
      <c r="S383">
        <v>27.339494146005499</v>
      </c>
      <c r="T383" s="3">
        <f t="shared" si="17"/>
        <v>27.339494146005499</v>
      </c>
      <c r="U383">
        <f t="shared" si="16"/>
        <v>6.0006492648616003</v>
      </c>
    </row>
    <row r="384" spans="1:21" hidden="1" x14ac:dyDescent="0.25">
      <c r="A384" t="s">
        <v>49</v>
      </c>
      <c r="B384">
        <v>30</v>
      </c>
      <c r="C384">
        <v>12</v>
      </c>
      <c r="D384">
        <v>1</v>
      </c>
      <c r="E384">
        <v>2</v>
      </c>
      <c r="F384">
        <v>2</v>
      </c>
      <c r="G384">
        <v>26</v>
      </c>
      <c r="H384" t="s">
        <v>478</v>
      </c>
      <c r="I384" t="s">
        <v>479</v>
      </c>
      <c r="J384" t="s">
        <v>456</v>
      </c>
      <c r="K384" t="s">
        <v>480</v>
      </c>
      <c r="L384">
        <v>2025</v>
      </c>
      <c r="M384" t="s">
        <v>24</v>
      </c>
      <c r="N384">
        <v>1115.8599999999999</v>
      </c>
      <c r="O384">
        <v>13.9</v>
      </c>
      <c r="P384">
        <v>18.7714186408631</v>
      </c>
      <c r="Q384">
        <v>4.405019299302273</v>
      </c>
      <c r="R384" s="3">
        <v>47.415187235759731</v>
      </c>
      <c r="S384">
        <v>23.729924923395792</v>
      </c>
      <c r="T384" s="3">
        <f t="shared" si="17"/>
        <v>23.729924923395792</v>
      </c>
      <c r="U384">
        <f t="shared" si="16"/>
        <v>4.9585062825326922</v>
      </c>
    </row>
    <row r="385" spans="1:21" hidden="1" x14ac:dyDescent="0.25">
      <c r="A385" t="s">
        <v>165</v>
      </c>
      <c r="B385">
        <v>41</v>
      </c>
      <c r="C385">
        <v>11</v>
      </c>
      <c r="D385">
        <v>2</v>
      </c>
      <c r="E385">
        <v>3</v>
      </c>
      <c r="F385">
        <v>9</v>
      </c>
      <c r="G385">
        <v>25</v>
      </c>
      <c r="H385" t="s">
        <v>502</v>
      </c>
      <c r="I385" t="s">
        <v>503</v>
      </c>
      <c r="J385" t="s">
        <v>456</v>
      </c>
      <c r="K385" t="s">
        <v>480</v>
      </c>
      <c r="L385">
        <v>2025</v>
      </c>
      <c r="M385" t="s">
        <v>24</v>
      </c>
      <c r="N385">
        <v>1596.67</v>
      </c>
      <c r="O385">
        <v>13.7</v>
      </c>
      <c r="P385">
        <v>26.922178245156999</v>
      </c>
      <c r="Q385">
        <v>4.4198225040074988</v>
      </c>
      <c r="R385" s="3">
        <v>47.574527450886308</v>
      </c>
      <c r="S385">
        <v>33.91973500274144</v>
      </c>
      <c r="T385" s="3">
        <f t="shared" si="17"/>
        <v>33.91973500274144</v>
      </c>
      <c r="U385">
        <f t="shared" si="16"/>
        <v>6.9975567575844408</v>
      </c>
    </row>
    <row r="386" spans="1:21" hidden="1" x14ac:dyDescent="0.25">
      <c r="A386" t="s">
        <v>45</v>
      </c>
      <c r="B386">
        <v>35</v>
      </c>
      <c r="C386">
        <v>22</v>
      </c>
      <c r="D386">
        <v>1</v>
      </c>
      <c r="E386">
        <v>2</v>
      </c>
      <c r="F386">
        <v>2</v>
      </c>
      <c r="G386">
        <v>24</v>
      </c>
      <c r="H386" t="s">
        <v>472</v>
      </c>
      <c r="I386" t="s">
        <v>473</v>
      </c>
      <c r="J386" t="s">
        <v>456</v>
      </c>
      <c r="K386" t="s">
        <v>474</v>
      </c>
      <c r="L386">
        <v>2025</v>
      </c>
      <c r="M386" t="s">
        <v>24</v>
      </c>
      <c r="N386">
        <v>848.23</v>
      </c>
      <c r="O386">
        <v>13.8</v>
      </c>
      <c r="P386">
        <v>14.2858185098248</v>
      </c>
      <c r="Q386">
        <v>4.4205728380504477</v>
      </c>
      <c r="R386" s="3">
        <v>47.58260397149121</v>
      </c>
      <c r="S386">
        <v>17.995903754908873</v>
      </c>
      <c r="T386" s="3">
        <f t="shared" si="17"/>
        <v>17.995903754908873</v>
      </c>
      <c r="U386">
        <f t="shared" si="16"/>
        <v>3.7100852450840733</v>
      </c>
    </row>
    <row r="387" spans="1:21" hidden="1" x14ac:dyDescent="0.25">
      <c r="A387" t="s">
        <v>106</v>
      </c>
      <c r="B387">
        <v>32</v>
      </c>
      <c r="C387">
        <v>21</v>
      </c>
      <c r="D387">
        <v>1</v>
      </c>
      <c r="E387">
        <v>5</v>
      </c>
      <c r="F387">
        <v>5</v>
      </c>
      <c r="G387">
        <v>27</v>
      </c>
      <c r="H387" t="s">
        <v>520</v>
      </c>
      <c r="I387" t="s">
        <v>507</v>
      </c>
      <c r="J387" t="s">
        <v>456</v>
      </c>
      <c r="K387" t="s">
        <v>521</v>
      </c>
      <c r="L387">
        <v>2025</v>
      </c>
      <c r="M387" t="s">
        <v>24</v>
      </c>
      <c r="N387">
        <v>1528.63</v>
      </c>
      <c r="O387">
        <v>13.9</v>
      </c>
      <c r="P387">
        <v>25.715191580469401</v>
      </c>
      <c r="Q387">
        <v>4.4702099837653799</v>
      </c>
      <c r="R387" s="3">
        <v>48.116893244252168</v>
      </c>
      <c r="S387">
        <v>32.033834260848884</v>
      </c>
      <c r="T387" s="3">
        <f t="shared" si="17"/>
        <v>32.033834260848884</v>
      </c>
      <c r="U387">
        <f t="shared" si="16"/>
        <v>6.3186426803794831</v>
      </c>
    </row>
    <row r="388" spans="1:21" hidden="1" x14ac:dyDescent="0.25">
      <c r="A388" t="s">
        <v>229</v>
      </c>
      <c r="B388">
        <v>45</v>
      </c>
      <c r="C388">
        <v>27</v>
      </c>
      <c r="D388">
        <v>4</v>
      </c>
      <c r="E388">
        <v>1</v>
      </c>
      <c r="F388">
        <v>19</v>
      </c>
      <c r="G388">
        <v>27</v>
      </c>
      <c r="H388" t="s">
        <v>494</v>
      </c>
      <c r="I388" t="s">
        <v>495</v>
      </c>
      <c r="J388" t="s">
        <v>456</v>
      </c>
      <c r="K388" t="s">
        <v>483</v>
      </c>
      <c r="L388">
        <v>2025</v>
      </c>
      <c r="M388" t="s">
        <v>24</v>
      </c>
      <c r="N388">
        <v>1011.53</v>
      </c>
      <c r="O388">
        <v>12.5</v>
      </c>
      <c r="P388">
        <v>17.293028405550999</v>
      </c>
      <c r="Q388">
        <v>4.4883763758437931</v>
      </c>
      <c r="R388" s="3">
        <v>48.312434471944997</v>
      </c>
      <c r="S388">
        <v>21.455017408212928</v>
      </c>
      <c r="T388" s="3">
        <f t="shared" si="17"/>
        <v>21.455017408212928</v>
      </c>
      <c r="U388">
        <f t="shared" si="16"/>
        <v>4.1619890026619295</v>
      </c>
    </row>
    <row r="389" spans="1:21" hidden="1" x14ac:dyDescent="0.25">
      <c r="A389" t="s">
        <v>182</v>
      </c>
      <c r="B389">
        <v>43</v>
      </c>
      <c r="C389">
        <v>10</v>
      </c>
      <c r="D389">
        <v>2</v>
      </c>
      <c r="E389">
        <v>6</v>
      </c>
      <c r="F389">
        <v>12</v>
      </c>
      <c r="G389">
        <v>26</v>
      </c>
      <c r="H389" t="s">
        <v>515</v>
      </c>
      <c r="I389" t="s">
        <v>516</v>
      </c>
      <c r="J389" t="s">
        <v>456</v>
      </c>
      <c r="K389" t="s">
        <v>517</v>
      </c>
      <c r="L389">
        <v>2025</v>
      </c>
      <c r="M389" t="s">
        <v>24</v>
      </c>
      <c r="N389">
        <v>1274.6199999999999</v>
      </c>
      <c r="O389">
        <v>14.3</v>
      </c>
      <c r="P389">
        <v>21.342524312284901</v>
      </c>
      <c r="Q389">
        <v>4.5016115852827827</v>
      </c>
      <c r="R389" s="3">
        <v>48.454896942825343</v>
      </c>
      <c r="S389">
        <v>26.40127186294178</v>
      </c>
      <c r="T389" s="3">
        <f t="shared" si="17"/>
        <v>26.40127186294178</v>
      </c>
      <c r="U389">
        <f t="shared" si="16"/>
        <v>5.0587475506568786</v>
      </c>
    </row>
    <row r="390" spans="1:21" hidden="1" x14ac:dyDescent="0.25">
      <c r="A390" t="s">
        <v>246</v>
      </c>
      <c r="B390">
        <v>47</v>
      </c>
      <c r="C390">
        <v>28</v>
      </c>
      <c r="D390">
        <v>4</v>
      </c>
      <c r="E390">
        <v>5</v>
      </c>
      <c r="F390">
        <v>23</v>
      </c>
      <c r="G390">
        <v>25</v>
      </c>
      <c r="H390" t="s">
        <v>481</v>
      </c>
      <c r="I390" t="s">
        <v>482</v>
      </c>
      <c r="J390" t="s">
        <v>456</v>
      </c>
      <c r="K390" t="s">
        <v>483</v>
      </c>
      <c r="L390">
        <v>2025</v>
      </c>
      <c r="M390" t="s">
        <v>24</v>
      </c>
      <c r="N390">
        <v>889.06</v>
      </c>
      <c r="O390">
        <v>13.5</v>
      </c>
      <c r="P390">
        <v>15.025585803250699</v>
      </c>
      <c r="Q390">
        <v>4.5218780501148483</v>
      </c>
      <c r="R390" s="3">
        <v>48.673043143631212</v>
      </c>
      <c r="S390">
        <v>18.503745705587573</v>
      </c>
      <c r="T390" s="3">
        <f t="shared" si="17"/>
        <v>18.503745705587573</v>
      </c>
      <c r="U390">
        <f t="shared" si="16"/>
        <v>3.4781599023368734</v>
      </c>
    </row>
    <row r="391" spans="1:21" hidden="1" x14ac:dyDescent="0.25">
      <c r="A391" t="s">
        <v>233</v>
      </c>
      <c r="B391">
        <v>30</v>
      </c>
      <c r="C391">
        <v>10</v>
      </c>
      <c r="D391">
        <v>4</v>
      </c>
      <c r="E391">
        <v>2</v>
      </c>
      <c r="F391">
        <v>20</v>
      </c>
      <c r="G391">
        <v>26</v>
      </c>
      <c r="H391" t="s">
        <v>515</v>
      </c>
      <c r="I391" t="s">
        <v>516</v>
      </c>
      <c r="J391" t="s">
        <v>456</v>
      </c>
      <c r="K391" t="s">
        <v>517</v>
      </c>
      <c r="L391">
        <v>2025</v>
      </c>
      <c r="M391" t="s">
        <v>24</v>
      </c>
      <c r="N391">
        <v>1152.1400000000001</v>
      </c>
      <c r="O391">
        <v>14.1</v>
      </c>
      <c r="P391">
        <v>19.336713061622699</v>
      </c>
      <c r="Q391">
        <v>4.5356798679660404</v>
      </c>
      <c r="R391" s="3">
        <v>48.821604530799647</v>
      </c>
      <c r="S391">
        <v>23.740362326323616</v>
      </c>
      <c r="T391" s="3">
        <f t="shared" si="17"/>
        <v>23.740362326323616</v>
      </c>
      <c r="U391">
        <f t="shared" si="16"/>
        <v>4.4036492647009169</v>
      </c>
    </row>
    <row r="392" spans="1:21" hidden="1" x14ac:dyDescent="0.25">
      <c r="A392" t="s">
        <v>371</v>
      </c>
      <c r="B392">
        <v>47</v>
      </c>
      <c r="C392">
        <v>2</v>
      </c>
      <c r="D392">
        <v>2</v>
      </c>
      <c r="E392">
        <v>6</v>
      </c>
      <c r="F392">
        <v>12</v>
      </c>
      <c r="G392">
        <v>25</v>
      </c>
      <c r="H392" t="s">
        <v>496</v>
      </c>
      <c r="I392" t="s">
        <v>497</v>
      </c>
      <c r="J392" t="s">
        <v>456</v>
      </c>
      <c r="K392" t="s">
        <v>498</v>
      </c>
      <c r="L392">
        <v>2025</v>
      </c>
      <c r="M392" t="s">
        <v>24</v>
      </c>
      <c r="N392">
        <v>1610.28</v>
      </c>
      <c r="O392">
        <v>13.9</v>
      </c>
      <c r="P392">
        <v>27.088738738738702</v>
      </c>
      <c r="Q392">
        <v>4.5412566233604714</v>
      </c>
      <c r="R392" s="3">
        <v>48.881632168189768</v>
      </c>
      <c r="S392">
        <v>33.2169554898095</v>
      </c>
      <c r="T392" s="3">
        <f t="shared" si="17"/>
        <v>33.2169554898095</v>
      </c>
      <c r="U392">
        <f t="shared" si="16"/>
        <v>6.1282167510707986</v>
      </c>
    </row>
    <row r="393" spans="1:21" hidden="1" x14ac:dyDescent="0.25">
      <c r="A393" t="s">
        <v>208</v>
      </c>
      <c r="B393">
        <v>50</v>
      </c>
      <c r="C393">
        <v>26</v>
      </c>
      <c r="D393">
        <v>3</v>
      </c>
      <c r="E393">
        <v>4</v>
      </c>
      <c r="F393">
        <v>16</v>
      </c>
      <c r="G393">
        <v>27</v>
      </c>
      <c r="H393" t="s">
        <v>489</v>
      </c>
      <c r="I393" t="s">
        <v>490</v>
      </c>
      <c r="J393" t="s">
        <v>456</v>
      </c>
      <c r="K393" t="s">
        <v>480</v>
      </c>
      <c r="L393">
        <v>2025</v>
      </c>
      <c r="M393" t="s">
        <v>24</v>
      </c>
      <c r="N393">
        <v>1242.8599999999999</v>
      </c>
      <c r="O393">
        <v>13.9</v>
      </c>
      <c r="P393">
        <v>20.907860638416199</v>
      </c>
      <c r="Q393">
        <v>4.5435069565911643</v>
      </c>
      <c r="R393" s="3">
        <v>48.905854530051627</v>
      </c>
      <c r="S393">
        <v>25.625094964787717</v>
      </c>
      <c r="T393" s="3">
        <f t="shared" si="17"/>
        <v>25.625094964787717</v>
      </c>
      <c r="U393">
        <f t="shared" si="16"/>
        <v>4.7172343263715177</v>
      </c>
    </row>
    <row r="394" spans="1:21" hidden="1" x14ac:dyDescent="0.25">
      <c r="A394" t="s">
        <v>228</v>
      </c>
      <c r="B394">
        <v>45</v>
      </c>
      <c r="C394">
        <v>26</v>
      </c>
      <c r="D394">
        <v>4</v>
      </c>
      <c r="E394">
        <v>1</v>
      </c>
      <c r="F394">
        <v>19</v>
      </c>
      <c r="G394">
        <v>26</v>
      </c>
      <c r="H394" t="s">
        <v>489</v>
      </c>
      <c r="I394" t="s">
        <v>490</v>
      </c>
      <c r="J394" t="s">
        <v>456</v>
      </c>
      <c r="K394" t="s">
        <v>480</v>
      </c>
      <c r="L394">
        <v>2025</v>
      </c>
      <c r="M394" t="s">
        <v>24</v>
      </c>
      <c r="N394">
        <v>1242.8599999999999</v>
      </c>
      <c r="O394">
        <v>14.4</v>
      </c>
      <c r="P394">
        <v>20.786444490690201</v>
      </c>
      <c r="Q394">
        <v>4.5914052311693414</v>
      </c>
      <c r="R394" s="3">
        <v>49.421426767783657</v>
      </c>
      <c r="S394">
        <v>25.210512206097636</v>
      </c>
      <c r="T394" s="3">
        <f t="shared" si="17"/>
        <v>25.210512206097636</v>
      </c>
      <c r="U394">
        <f t="shared" si="16"/>
        <v>4.4240677154074355</v>
      </c>
    </row>
    <row r="395" spans="1:21" hidden="1" x14ac:dyDescent="0.25">
      <c r="A395" t="s">
        <v>225</v>
      </c>
      <c r="B395">
        <v>57</v>
      </c>
      <c r="C395">
        <v>3</v>
      </c>
      <c r="D395">
        <v>4</v>
      </c>
      <c r="E395">
        <v>1</v>
      </c>
      <c r="F395">
        <v>19</v>
      </c>
      <c r="G395">
        <v>23</v>
      </c>
      <c r="H395" t="s">
        <v>491</v>
      </c>
      <c r="I395" t="s">
        <v>492</v>
      </c>
      <c r="J395" t="s">
        <v>456</v>
      </c>
      <c r="K395" t="s">
        <v>493</v>
      </c>
      <c r="L395">
        <v>2025</v>
      </c>
      <c r="M395" t="s">
        <v>24</v>
      </c>
      <c r="N395">
        <v>1301.83</v>
      </c>
      <c r="O395">
        <v>13.5</v>
      </c>
      <c r="P395">
        <v>22.0016178505903</v>
      </c>
      <c r="Q395">
        <v>4.6017511107667692</v>
      </c>
      <c r="R395" s="3">
        <v>49.532788781182433</v>
      </c>
      <c r="S395">
        <v>26.624323128468536</v>
      </c>
      <c r="T395" s="3">
        <f t="shared" si="17"/>
        <v>26.624323128468536</v>
      </c>
      <c r="U395">
        <f t="shared" si="16"/>
        <v>4.6227052778782358</v>
      </c>
    </row>
    <row r="396" spans="1:21" hidden="1" x14ac:dyDescent="0.25">
      <c r="A396" t="s">
        <v>218</v>
      </c>
      <c r="B396">
        <v>53</v>
      </c>
      <c r="C396">
        <v>12</v>
      </c>
      <c r="D396">
        <v>3</v>
      </c>
      <c r="E396">
        <v>6</v>
      </c>
      <c r="F396">
        <v>18</v>
      </c>
      <c r="G396">
        <v>27</v>
      </c>
      <c r="H396" t="s">
        <v>478</v>
      </c>
      <c r="I396" t="s">
        <v>479</v>
      </c>
      <c r="J396" t="s">
        <v>456</v>
      </c>
      <c r="K396" t="s">
        <v>480</v>
      </c>
      <c r="L396">
        <v>2025</v>
      </c>
      <c r="M396" t="s">
        <v>24</v>
      </c>
      <c r="N396">
        <v>1124.93</v>
      </c>
      <c r="O396">
        <v>14.1</v>
      </c>
      <c r="P396">
        <v>18.880039426121201</v>
      </c>
      <c r="Q396">
        <v>4.606249916778876</v>
      </c>
      <c r="R396" s="3">
        <v>49.581213479216139</v>
      </c>
      <c r="S396">
        <v>22.824563656072797</v>
      </c>
      <c r="T396" s="3">
        <f t="shared" si="17"/>
        <v>22.824563656072797</v>
      </c>
      <c r="U396">
        <f t="shared" si="16"/>
        <v>3.9445242299515968</v>
      </c>
    </row>
    <row r="397" spans="1:21" hidden="1" x14ac:dyDescent="0.25">
      <c r="A397" t="s">
        <v>87</v>
      </c>
      <c r="B397">
        <v>37</v>
      </c>
      <c r="C397">
        <v>19</v>
      </c>
      <c r="D397">
        <v>1</v>
      </c>
      <c r="E397">
        <v>4</v>
      </c>
      <c r="F397">
        <v>4</v>
      </c>
      <c r="G397">
        <v>27</v>
      </c>
      <c r="H397" t="s">
        <v>506</v>
      </c>
      <c r="I397" t="s">
        <v>507</v>
      </c>
      <c r="J397" t="s">
        <v>456</v>
      </c>
      <c r="K397" t="s">
        <v>508</v>
      </c>
      <c r="L397">
        <v>2025</v>
      </c>
      <c r="M397" t="s">
        <v>24</v>
      </c>
      <c r="N397">
        <v>1369.87</v>
      </c>
      <c r="O397">
        <v>14.1</v>
      </c>
      <c r="P397">
        <v>22.9909413107132</v>
      </c>
      <c r="Q397">
        <v>4.6076016063008458</v>
      </c>
      <c r="R397" s="3">
        <v>49.595762930061667</v>
      </c>
      <c r="S397">
        <v>27.786184559908261</v>
      </c>
      <c r="T397" s="3">
        <f t="shared" si="17"/>
        <v>27.786184559908261</v>
      </c>
      <c r="U397">
        <f t="shared" si="16"/>
        <v>4.7952432491950603</v>
      </c>
    </row>
    <row r="398" spans="1:21" hidden="1" x14ac:dyDescent="0.25">
      <c r="A398" t="s">
        <v>240</v>
      </c>
      <c r="B398">
        <v>32</v>
      </c>
      <c r="C398">
        <v>6</v>
      </c>
      <c r="D398">
        <v>4</v>
      </c>
      <c r="E398">
        <v>4</v>
      </c>
      <c r="F398">
        <v>22</v>
      </c>
      <c r="G398">
        <v>24</v>
      </c>
      <c r="H398" t="s">
        <v>525</v>
      </c>
      <c r="I398" t="s">
        <v>526</v>
      </c>
      <c r="J398" t="s">
        <v>456</v>
      </c>
      <c r="K398" t="s">
        <v>527</v>
      </c>
      <c r="L398">
        <v>2025</v>
      </c>
      <c r="M398" t="s">
        <v>24</v>
      </c>
      <c r="N398">
        <v>1079.57</v>
      </c>
      <c r="O398">
        <v>13</v>
      </c>
      <c r="P398">
        <v>18.350770098398801</v>
      </c>
      <c r="Q398">
        <v>4.6079252464224574</v>
      </c>
      <c r="R398" s="3">
        <v>49.599246559966687</v>
      </c>
      <c r="S398">
        <v>22.176650574080099</v>
      </c>
      <c r="T398" s="3">
        <f t="shared" si="17"/>
        <v>22.176650574080099</v>
      </c>
      <c r="U398">
        <f t="shared" ref="U398:U461" si="18">T398-P398</f>
        <v>3.8258804756812985</v>
      </c>
    </row>
    <row r="399" spans="1:21" hidden="1" x14ac:dyDescent="0.25">
      <c r="A399" t="s">
        <v>227</v>
      </c>
      <c r="B399">
        <v>50</v>
      </c>
      <c r="C399">
        <v>9</v>
      </c>
      <c r="D399">
        <v>4</v>
      </c>
      <c r="E399">
        <v>1</v>
      </c>
      <c r="F399">
        <v>19</v>
      </c>
      <c r="G399">
        <v>25</v>
      </c>
      <c r="H399" t="s">
        <v>484</v>
      </c>
      <c r="I399" t="s">
        <v>485</v>
      </c>
      <c r="J399" t="s">
        <v>456</v>
      </c>
      <c r="K399" t="s">
        <v>486</v>
      </c>
      <c r="L399">
        <v>2025</v>
      </c>
      <c r="M399" t="s">
        <v>24</v>
      </c>
      <c r="N399">
        <v>1292.76</v>
      </c>
      <c r="O399">
        <v>15.2</v>
      </c>
      <c r="P399">
        <v>21.4189408921116</v>
      </c>
      <c r="Q399">
        <v>4.6100714448677058</v>
      </c>
      <c r="R399" s="3">
        <v>49.622348025411497</v>
      </c>
      <c r="S399">
        <v>25.872441917011123</v>
      </c>
      <c r="T399" s="3">
        <f t="shared" si="17"/>
        <v>25.872441917011123</v>
      </c>
      <c r="U399">
        <f t="shared" si="18"/>
        <v>4.4535010248995235</v>
      </c>
    </row>
    <row r="400" spans="1:21" hidden="1" x14ac:dyDescent="0.25">
      <c r="A400" t="s">
        <v>249</v>
      </c>
      <c r="B400">
        <v>39</v>
      </c>
      <c r="C400">
        <v>16</v>
      </c>
      <c r="D400">
        <v>4</v>
      </c>
      <c r="E400">
        <v>6</v>
      </c>
      <c r="F400">
        <v>24</v>
      </c>
      <c r="G400">
        <v>23</v>
      </c>
      <c r="H400" t="s">
        <v>461</v>
      </c>
      <c r="I400" t="s">
        <v>462</v>
      </c>
      <c r="J400" t="s">
        <v>456</v>
      </c>
      <c r="K400" t="s">
        <v>463</v>
      </c>
      <c r="L400">
        <v>2025</v>
      </c>
      <c r="M400" t="s">
        <v>24</v>
      </c>
      <c r="N400">
        <v>1446.98</v>
      </c>
      <c r="O400">
        <v>13.8</v>
      </c>
      <c r="P400">
        <v>24.3699157862211</v>
      </c>
      <c r="Q400">
        <v>4.6124949824082</v>
      </c>
      <c r="R400" s="3">
        <v>49.648434741143618</v>
      </c>
      <c r="S400">
        <v>29.42152677807556</v>
      </c>
      <c r="T400" s="3">
        <f t="shared" si="17"/>
        <v>29.42152677807556</v>
      </c>
      <c r="U400">
        <f t="shared" si="18"/>
        <v>5.0516109918544601</v>
      </c>
    </row>
    <row r="401" spans="1:21" hidden="1" x14ac:dyDescent="0.25">
      <c r="A401" t="s">
        <v>198</v>
      </c>
      <c r="B401">
        <v>46</v>
      </c>
      <c r="C401">
        <v>15</v>
      </c>
      <c r="D401">
        <v>3</v>
      </c>
      <c r="E401">
        <v>2</v>
      </c>
      <c r="F401">
        <v>14</v>
      </c>
      <c r="G401">
        <v>27</v>
      </c>
      <c r="H401" t="s">
        <v>467</v>
      </c>
      <c r="I401" t="s">
        <v>468</v>
      </c>
      <c r="J401" t="s">
        <v>456</v>
      </c>
      <c r="K401" t="s">
        <v>469</v>
      </c>
      <c r="L401">
        <v>2025</v>
      </c>
      <c r="M401" t="s">
        <v>24</v>
      </c>
      <c r="N401">
        <v>943.49</v>
      </c>
      <c r="O401">
        <v>11.4</v>
      </c>
      <c r="P401">
        <v>16.332597428374299</v>
      </c>
      <c r="Q401">
        <v>4.624230027097826</v>
      </c>
      <c r="R401" s="3">
        <v>49.77474958867829</v>
      </c>
      <c r="S401">
        <v>19.668122852383618</v>
      </c>
      <c r="T401" s="3">
        <f t="shared" si="17"/>
        <v>19.668122852383618</v>
      </c>
      <c r="U401">
        <f t="shared" si="18"/>
        <v>3.3355254240093188</v>
      </c>
    </row>
    <row r="402" spans="1:21" hidden="1" x14ac:dyDescent="0.25">
      <c r="A402" t="s">
        <v>190</v>
      </c>
      <c r="B402">
        <v>40</v>
      </c>
      <c r="C402">
        <v>18</v>
      </c>
      <c r="D402">
        <v>3</v>
      </c>
      <c r="E402">
        <v>1</v>
      </c>
      <c r="F402">
        <v>13</v>
      </c>
      <c r="G402">
        <v>23</v>
      </c>
      <c r="H402" t="s">
        <v>509</v>
      </c>
      <c r="I402" t="s">
        <v>510</v>
      </c>
      <c r="J402" t="s">
        <v>456</v>
      </c>
      <c r="K402" t="s">
        <v>511</v>
      </c>
      <c r="L402">
        <v>2025</v>
      </c>
      <c r="M402" t="s">
        <v>24</v>
      </c>
      <c r="N402">
        <v>1415.23</v>
      </c>
      <c r="O402">
        <v>15.5</v>
      </c>
      <c r="P402">
        <v>23.365117496836099</v>
      </c>
      <c r="Q402">
        <v>4.6410342523459009</v>
      </c>
      <c r="R402" s="3">
        <v>49.955628588826038</v>
      </c>
      <c r="S402">
        <v>28.034981889380493</v>
      </c>
      <c r="T402" s="3">
        <f t="shared" si="17"/>
        <v>28.034981889380493</v>
      </c>
      <c r="U402">
        <f t="shared" si="18"/>
        <v>4.6698643925443939</v>
      </c>
    </row>
    <row r="403" spans="1:21" hidden="1" x14ac:dyDescent="0.25">
      <c r="A403" t="s">
        <v>179</v>
      </c>
      <c r="B403">
        <v>55</v>
      </c>
      <c r="C403">
        <v>7</v>
      </c>
      <c r="D403">
        <v>2</v>
      </c>
      <c r="E403">
        <v>5</v>
      </c>
      <c r="F403">
        <v>11</v>
      </c>
      <c r="G403">
        <v>27</v>
      </c>
      <c r="H403" t="s">
        <v>531</v>
      </c>
      <c r="I403" t="s">
        <v>497</v>
      </c>
      <c r="J403" t="s">
        <v>456</v>
      </c>
      <c r="K403" t="s">
        <v>532</v>
      </c>
      <c r="L403">
        <v>2025</v>
      </c>
      <c r="M403" t="s">
        <v>24</v>
      </c>
      <c r="N403">
        <v>1592.14</v>
      </c>
      <c r="O403">
        <v>11.8</v>
      </c>
      <c r="P403">
        <v>27.4368388713917</v>
      </c>
      <c r="Q403">
        <v>4.6455383614727461</v>
      </c>
      <c r="R403" s="3">
        <v>50.004110369056491</v>
      </c>
      <c r="S403">
        <v>32.888578755095857</v>
      </c>
      <c r="T403" s="3">
        <f t="shared" si="17"/>
        <v>32.888578755095857</v>
      </c>
      <c r="U403">
        <f t="shared" si="18"/>
        <v>5.4517398837041569</v>
      </c>
    </row>
    <row r="404" spans="1:21" hidden="1" x14ac:dyDescent="0.25">
      <c r="A404" t="s">
        <v>155</v>
      </c>
      <c r="B404">
        <v>41</v>
      </c>
      <c r="C404">
        <v>23</v>
      </c>
      <c r="D404">
        <v>2</v>
      </c>
      <c r="E404">
        <v>1</v>
      </c>
      <c r="F404">
        <v>7</v>
      </c>
      <c r="G404">
        <v>25</v>
      </c>
      <c r="H404" t="s">
        <v>458</v>
      </c>
      <c r="I404" t="s">
        <v>459</v>
      </c>
      <c r="J404" t="s">
        <v>456</v>
      </c>
      <c r="K404" t="s">
        <v>460</v>
      </c>
      <c r="L404">
        <v>2025</v>
      </c>
      <c r="M404" t="s">
        <v>24</v>
      </c>
      <c r="N404">
        <v>1533.17</v>
      </c>
      <c r="O404">
        <v>15.2</v>
      </c>
      <c r="P404">
        <v>25.402145493021699</v>
      </c>
      <c r="Q404">
        <v>4.6484986194375244</v>
      </c>
      <c r="R404" s="3">
        <v>50.035974289763558</v>
      </c>
      <c r="S404">
        <v>30.430197921882367</v>
      </c>
      <c r="T404" s="3">
        <f t="shared" si="17"/>
        <v>30.430197921882367</v>
      </c>
      <c r="U404">
        <f t="shared" si="18"/>
        <v>5.0280524288606685</v>
      </c>
    </row>
    <row r="405" spans="1:21" hidden="1" x14ac:dyDescent="0.25">
      <c r="A405" t="s">
        <v>209</v>
      </c>
      <c r="B405">
        <v>74</v>
      </c>
      <c r="C405">
        <v>19</v>
      </c>
      <c r="D405">
        <v>3</v>
      </c>
      <c r="E405">
        <v>5</v>
      </c>
      <c r="F405">
        <v>17</v>
      </c>
      <c r="G405">
        <v>23</v>
      </c>
      <c r="H405" t="s">
        <v>506</v>
      </c>
      <c r="I405" t="s">
        <v>507</v>
      </c>
      <c r="J405" t="s">
        <v>456</v>
      </c>
      <c r="K405" t="s">
        <v>508</v>
      </c>
      <c r="L405">
        <v>2025</v>
      </c>
      <c r="M405" t="s">
        <v>24</v>
      </c>
      <c r="N405">
        <v>1034.21</v>
      </c>
      <c r="O405">
        <v>14.5</v>
      </c>
      <c r="P405">
        <v>17.276631960066901</v>
      </c>
      <c r="Q405">
        <v>4.6666316840189754</v>
      </c>
      <c r="R405" s="3">
        <v>50.231156783611837</v>
      </c>
      <c r="S405">
        <v>20.61591621605394</v>
      </c>
      <c r="T405" s="3">
        <f t="shared" si="17"/>
        <v>20.61591621605394</v>
      </c>
      <c r="U405">
        <f t="shared" si="18"/>
        <v>3.3392842559870388</v>
      </c>
    </row>
    <row r="406" spans="1:21" hidden="1" x14ac:dyDescent="0.25">
      <c r="A406" t="s">
        <v>114</v>
      </c>
      <c r="B406">
        <v>47</v>
      </c>
      <c r="C406">
        <v>6</v>
      </c>
      <c r="D406">
        <v>1</v>
      </c>
      <c r="E406">
        <v>6</v>
      </c>
      <c r="F406">
        <v>6</v>
      </c>
      <c r="G406">
        <v>24</v>
      </c>
      <c r="H406" t="s">
        <v>525</v>
      </c>
      <c r="I406" t="s">
        <v>526</v>
      </c>
      <c r="J406" t="s">
        <v>456</v>
      </c>
      <c r="K406" t="s">
        <v>527</v>
      </c>
      <c r="L406">
        <v>2025</v>
      </c>
      <c r="M406" t="s">
        <v>24</v>
      </c>
      <c r="N406">
        <v>1501.42</v>
      </c>
      <c r="O406">
        <v>11.6</v>
      </c>
      <c r="P406">
        <v>25.9321602025306</v>
      </c>
      <c r="Q406">
        <v>4.6716615513394686</v>
      </c>
      <c r="R406" s="3">
        <v>50.285297772462897</v>
      </c>
      <c r="S406">
        <v>30.911096312347674</v>
      </c>
      <c r="T406" s="3">
        <f t="shared" si="17"/>
        <v>30.911096312347674</v>
      </c>
      <c r="U406">
        <f t="shared" si="18"/>
        <v>4.9789361098170737</v>
      </c>
    </row>
    <row r="407" spans="1:21" hidden="1" x14ac:dyDescent="0.25">
      <c r="A407" t="s">
        <v>239</v>
      </c>
      <c r="B407">
        <v>49</v>
      </c>
      <c r="C407">
        <v>7</v>
      </c>
      <c r="D407">
        <v>4</v>
      </c>
      <c r="E407">
        <v>4</v>
      </c>
      <c r="F407">
        <v>22</v>
      </c>
      <c r="G407">
        <v>23</v>
      </c>
      <c r="H407" t="s">
        <v>531</v>
      </c>
      <c r="I407" t="s">
        <v>497</v>
      </c>
      <c r="J407" t="s">
        <v>456</v>
      </c>
      <c r="K407" t="s">
        <v>532</v>
      </c>
      <c r="L407">
        <v>2025</v>
      </c>
      <c r="M407" t="s">
        <v>24</v>
      </c>
      <c r="N407">
        <v>1102.25</v>
      </c>
      <c r="O407">
        <v>12.8</v>
      </c>
      <c r="P407">
        <v>18.779361694899201</v>
      </c>
      <c r="Q407">
        <v>4.6728031927257394</v>
      </c>
      <c r="R407" s="3">
        <v>50.297586286180582</v>
      </c>
      <c r="S407">
        <v>22.379502141269327</v>
      </c>
      <c r="T407" s="3">
        <f t="shared" si="17"/>
        <v>22.379502141269327</v>
      </c>
      <c r="U407">
        <f t="shared" si="18"/>
        <v>3.6001404463701263</v>
      </c>
    </row>
    <row r="408" spans="1:21" hidden="1" x14ac:dyDescent="0.25">
      <c r="A408" t="s">
        <v>171</v>
      </c>
      <c r="B408">
        <v>39</v>
      </c>
      <c r="C408">
        <v>1</v>
      </c>
      <c r="D408">
        <v>2</v>
      </c>
      <c r="E408">
        <v>4</v>
      </c>
      <c r="F408">
        <v>10</v>
      </c>
      <c r="G408">
        <v>24</v>
      </c>
      <c r="H408" t="s">
        <v>528</v>
      </c>
      <c r="I408" t="s">
        <v>529</v>
      </c>
      <c r="J408" t="s">
        <v>456</v>
      </c>
      <c r="K408" t="s">
        <v>530</v>
      </c>
      <c r="L408">
        <v>2025</v>
      </c>
      <c r="M408" t="s">
        <v>24</v>
      </c>
      <c r="N408">
        <v>1868.83</v>
      </c>
      <c r="O408">
        <v>12.5</v>
      </c>
      <c r="P408">
        <v>31.949354220978002</v>
      </c>
      <c r="Q408">
        <v>4.6815297376897194</v>
      </c>
      <c r="R408" s="3">
        <v>50.391517943518373</v>
      </c>
      <c r="S408">
        <v>38.003306313413873</v>
      </c>
      <c r="T408" s="3">
        <f t="shared" si="17"/>
        <v>38.003306313413873</v>
      </c>
      <c r="U408">
        <f t="shared" si="18"/>
        <v>6.0539520924358712</v>
      </c>
    </row>
    <row r="409" spans="1:21" hidden="1" x14ac:dyDescent="0.25">
      <c r="A409" t="s">
        <v>126</v>
      </c>
      <c r="B409">
        <v>41</v>
      </c>
      <c r="C409">
        <v>17</v>
      </c>
      <c r="D409">
        <v>1</v>
      </c>
      <c r="E409">
        <v>6</v>
      </c>
      <c r="F409">
        <v>6</v>
      </c>
      <c r="G409">
        <v>27</v>
      </c>
      <c r="H409" t="s">
        <v>533</v>
      </c>
      <c r="I409" t="s">
        <v>534</v>
      </c>
      <c r="J409" t="s">
        <v>456</v>
      </c>
      <c r="K409" t="s">
        <v>535</v>
      </c>
      <c r="L409">
        <v>2025</v>
      </c>
      <c r="M409" t="s">
        <v>24</v>
      </c>
      <c r="N409">
        <v>1705.54</v>
      </c>
      <c r="O409">
        <v>14</v>
      </c>
      <c r="P409">
        <v>28.657915303353398</v>
      </c>
      <c r="Q409">
        <v>4.695434638270914</v>
      </c>
      <c r="R409" s="3">
        <v>50.541188902884286</v>
      </c>
      <c r="S409">
        <v>33.987238538921183</v>
      </c>
      <c r="T409" s="3">
        <f t="shared" si="17"/>
        <v>33.987238538921183</v>
      </c>
      <c r="U409">
        <f t="shared" si="18"/>
        <v>5.3293232355677844</v>
      </c>
    </row>
    <row r="410" spans="1:21" hidden="1" x14ac:dyDescent="0.25">
      <c r="A410" t="s">
        <v>99</v>
      </c>
      <c r="B410">
        <v>52</v>
      </c>
      <c r="C410">
        <v>10</v>
      </c>
      <c r="D410">
        <v>1</v>
      </c>
      <c r="E410">
        <v>5</v>
      </c>
      <c r="F410">
        <v>5</v>
      </c>
      <c r="G410">
        <v>25</v>
      </c>
      <c r="H410" t="s">
        <v>515</v>
      </c>
      <c r="I410" t="s">
        <v>516</v>
      </c>
      <c r="J410" t="s">
        <v>456</v>
      </c>
      <c r="K410" t="s">
        <v>517</v>
      </c>
      <c r="L410">
        <v>2025</v>
      </c>
      <c r="M410" t="s">
        <v>24</v>
      </c>
      <c r="N410">
        <v>1292.76</v>
      </c>
      <c r="O410">
        <v>14.3</v>
      </c>
      <c r="P410">
        <v>21.646264557240201</v>
      </c>
      <c r="Q410">
        <v>4.7035110760424539</v>
      </c>
      <c r="R410" s="3">
        <v>50.628122871413368</v>
      </c>
      <c r="S410">
        <v>25.627596362921491</v>
      </c>
      <c r="T410" s="3">
        <f t="shared" si="17"/>
        <v>25.627596362921491</v>
      </c>
      <c r="U410">
        <f t="shared" si="18"/>
        <v>3.9813318056812896</v>
      </c>
    </row>
    <row r="411" spans="1:21" hidden="1" x14ac:dyDescent="0.25">
      <c r="A411" t="s">
        <v>248</v>
      </c>
      <c r="B411">
        <v>37</v>
      </c>
      <c r="C411">
        <v>22</v>
      </c>
      <c r="D411">
        <v>4</v>
      </c>
      <c r="E411">
        <v>5</v>
      </c>
      <c r="F411">
        <v>23</v>
      </c>
      <c r="G411">
        <v>27</v>
      </c>
      <c r="H411" t="s">
        <v>472</v>
      </c>
      <c r="I411" t="s">
        <v>473</v>
      </c>
      <c r="J411" t="s">
        <v>456</v>
      </c>
      <c r="K411" t="s">
        <v>474</v>
      </c>
      <c r="L411">
        <v>2025</v>
      </c>
      <c r="M411" t="s">
        <v>24</v>
      </c>
      <c r="N411">
        <v>1306.3699999999999</v>
      </c>
      <c r="O411">
        <v>9.39</v>
      </c>
      <c r="P411">
        <v>23.1273867584516</v>
      </c>
      <c r="Q411">
        <v>4.7039176913673177</v>
      </c>
      <c r="R411" s="3">
        <v>50.632499638108669</v>
      </c>
      <c r="S411">
        <v>27.378770003648377</v>
      </c>
      <c r="T411" s="3">
        <f t="shared" si="17"/>
        <v>27.378770003648377</v>
      </c>
      <c r="U411">
        <f t="shared" si="18"/>
        <v>4.2513832451967772</v>
      </c>
    </row>
    <row r="412" spans="1:21" hidden="1" x14ac:dyDescent="0.25">
      <c r="A412" t="s">
        <v>110</v>
      </c>
      <c r="B412">
        <v>37</v>
      </c>
      <c r="C412">
        <v>8</v>
      </c>
      <c r="D412">
        <v>1</v>
      </c>
      <c r="E412">
        <v>6</v>
      </c>
      <c r="F412">
        <v>6</v>
      </c>
      <c r="G412">
        <v>23</v>
      </c>
      <c r="H412" t="s">
        <v>522</v>
      </c>
      <c r="I412" t="s">
        <v>523</v>
      </c>
      <c r="J412" t="s">
        <v>456</v>
      </c>
      <c r="K412" t="s">
        <v>524</v>
      </c>
      <c r="L412">
        <v>2025</v>
      </c>
      <c r="M412" t="s">
        <v>24</v>
      </c>
      <c r="N412">
        <v>1551.31</v>
      </c>
      <c r="O412">
        <v>13.5</v>
      </c>
      <c r="P412">
        <v>26.217962243763999</v>
      </c>
      <c r="Q412">
        <v>4.7177229169917192</v>
      </c>
      <c r="R412" s="3">
        <v>50.781097706207163</v>
      </c>
      <c r="S412">
        <v>30.946646052889886</v>
      </c>
      <c r="T412" s="3">
        <f t="shared" si="17"/>
        <v>30.946646052889886</v>
      </c>
      <c r="U412">
        <f t="shared" si="18"/>
        <v>4.7286838091258865</v>
      </c>
    </row>
    <row r="413" spans="1:21" hidden="1" x14ac:dyDescent="0.25">
      <c r="A413" t="s">
        <v>157</v>
      </c>
      <c r="B413">
        <v>35</v>
      </c>
      <c r="C413">
        <v>9</v>
      </c>
      <c r="D413">
        <v>2</v>
      </c>
      <c r="E413">
        <v>1</v>
      </c>
      <c r="F413">
        <v>7</v>
      </c>
      <c r="G413">
        <v>27</v>
      </c>
      <c r="H413" t="s">
        <v>484</v>
      </c>
      <c r="I413" t="s">
        <v>485</v>
      </c>
      <c r="J413" t="s">
        <v>456</v>
      </c>
      <c r="K413" t="s">
        <v>486</v>
      </c>
      <c r="L413">
        <v>2025</v>
      </c>
      <c r="M413" t="s">
        <v>24</v>
      </c>
      <c r="N413">
        <v>1660.18</v>
      </c>
      <c r="O413">
        <v>15</v>
      </c>
      <c r="P413">
        <v>27.571369440159</v>
      </c>
      <c r="Q413">
        <v>4.7183753377881876</v>
      </c>
      <c r="R413" s="3">
        <v>50.788120298418271</v>
      </c>
      <c r="S413">
        <v>32.539654441485538</v>
      </c>
      <c r="T413" s="3">
        <f t="shared" si="17"/>
        <v>32.539654441485538</v>
      </c>
      <c r="U413">
        <f t="shared" si="18"/>
        <v>4.9682850013265387</v>
      </c>
    </row>
    <row r="414" spans="1:21" hidden="1" x14ac:dyDescent="0.25">
      <c r="A414" t="s">
        <v>103</v>
      </c>
      <c r="B414">
        <v>41</v>
      </c>
      <c r="C414">
        <v>13</v>
      </c>
      <c r="D414">
        <v>1</v>
      </c>
      <c r="E414">
        <v>5</v>
      </c>
      <c r="F414">
        <v>5</v>
      </c>
      <c r="G414">
        <v>26</v>
      </c>
      <c r="H414" t="s">
        <v>518</v>
      </c>
      <c r="I414" t="s">
        <v>485</v>
      </c>
      <c r="J414" t="s">
        <v>456</v>
      </c>
      <c r="K414" t="s">
        <v>519</v>
      </c>
      <c r="L414">
        <v>2025</v>
      </c>
      <c r="M414" t="s">
        <v>24</v>
      </c>
      <c r="N414">
        <v>1460.59</v>
      </c>
      <c r="O414">
        <v>14.5</v>
      </c>
      <c r="P414">
        <v>24.3993733134993</v>
      </c>
      <c r="Q414">
        <v>4.7292862472340014</v>
      </c>
      <c r="R414" s="3">
        <v>50.905564236602068</v>
      </c>
      <c r="S414">
        <v>28.729638072837343</v>
      </c>
      <c r="T414" s="3">
        <f t="shared" si="17"/>
        <v>28.729638072837343</v>
      </c>
      <c r="U414">
        <f t="shared" si="18"/>
        <v>4.3302647593380428</v>
      </c>
    </row>
    <row r="415" spans="1:21" hidden="1" x14ac:dyDescent="0.25">
      <c r="A415" t="s">
        <v>216</v>
      </c>
      <c r="B415">
        <v>60</v>
      </c>
      <c r="C415">
        <v>21</v>
      </c>
      <c r="D415">
        <v>3</v>
      </c>
      <c r="E415">
        <v>6</v>
      </c>
      <c r="F415">
        <v>18</v>
      </c>
      <c r="G415">
        <v>25</v>
      </c>
      <c r="H415" t="s">
        <v>520</v>
      </c>
      <c r="I415" t="s">
        <v>507</v>
      </c>
      <c r="J415" t="s">
        <v>456</v>
      </c>
      <c r="K415" t="s">
        <v>521</v>
      </c>
      <c r="L415">
        <v>2025</v>
      </c>
      <c r="M415" t="s">
        <v>24</v>
      </c>
      <c r="N415">
        <v>1315.44</v>
      </c>
      <c r="O415">
        <v>14.1</v>
      </c>
      <c r="P415">
        <v>22.077426206694501</v>
      </c>
      <c r="Q415">
        <v>4.7449311953879061</v>
      </c>
      <c r="R415" s="3">
        <v>51.073964894035882</v>
      </c>
      <c r="S415">
        <v>25.90989224303982</v>
      </c>
      <c r="T415" s="3">
        <f t="shared" si="17"/>
        <v>25.90989224303982</v>
      </c>
      <c r="U415">
        <f t="shared" si="18"/>
        <v>3.8324660363453198</v>
      </c>
    </row>
    <row r="416" spans="1:21" hidden="1" x14ac:dyDescent="0.25">
      <c r="A416" t="s">
        <v>199</v>
      </c>
      <c r="B416">
        <v>53</v>
      </c>
      <c r="C416">
        <v>20</v>
      </c>
      <c r="D416">
        <v>3</v>
      </c>
      <c r="E416">
        <v>3</v>
      </c>
      <c r="F416">
        <v>15</v>
      </c>
      <c r="G416">
        <v>23</v>
      </c>
      <c r="H416" t="s">
        <v>470</v>
      </c>
      <c r="I416" t="s">
        <v>459</v>
      </c>
      <c r="J416" t="s">
        <v>456</v>
      </c>
      <c r="K416" t="s">
        <v>471</v>
      </c>
      <c r="L416">
        <v>2025</v>
      </c>
      <c r="M416" t="s">
        <v>24</v>
      </c>
      <c r="N416">
        <v>1469.66</v>
      </c>
      <c r="O416">
        <v>15.2</v>
      </c>
      <c r="P416">
        <v>24.349887582769199</v>
      </c>
      <c r="Q416">
        <v>4.7731166729369674</v>
      </c>
      <c r="R416" s="3">
        <v>51.377350555826219</v>
      </c>
      <c r="S416">
        <v>28.40808733656424</v>
      </c>
      <c r="T416" s="3">
        <f t="shared" si="17"/>
        <v>28.40808733656424</v>
      </c>
      <c r="U416">
        <f t="shared" si="18"/>
        <v>4.0581997537950407</v>
      </c>
    </row>
    <row r="417" spans="1:21" hidden="1" x14ac:dyDescent="0.25">
      <c r="A417" t="s">
        <v>231</v>
      </c>
      <c r="B417">
        <v>43</v>
      </c>
      <c r="C417">
        <v>21</v>
      </c>
      <c r="D417">
        <v>4</v>
      </c>
      <c r="E417">
        <v>2</v>
      </c>
      <c r="F417">
        <v>20</v>
      </c>
      <c r="G417">
        <v>24</v>
      </c>
      <c r="H417" t="s">
        <v>520</v>
      </c>
      <c r="I417" t="s">
        <v>507</v>
      </c>
      <c r="J417" t="s">
        <v>456</v>
      </c>
      <c r="K417" t="s">
        <v>521</v>
      </c>
      <c r="L417">
        <v>2025</v>
      </c>
      <c r="M417" t="s">
        <v>24</v>
      </c>
      <c r="N417">
        <v>1356.26</v>
      </c>
      <c r="O417">
        <v>14.5</v>
      </c>
      <c r="P417">
        <v>22.6565251372162</v>
      </c>
      <c r="Q417">
        <v>4.7769861507067812</v>
      </c>
      <c r="R417" s="3">
        <v>51.419001227592723</v>
      </c>
      <c r="S417">
        <v>26.411094815198094</v>
      </c>
      <c r="T417" s="3">
        <f t="shared" si="17"/>
        <v>26.411094815198094</v>
      </c>
      <c r="U417">
        <f t="shared" si="18"/>
        <v>3.7545696779818947</v>
      </c>
    </row>
    <row r="418" spans="1:21" hidden="1" x14ac:dyDescent="0.25">
      <c r="A418" t="s">
        <v>159</v>
      </c>
      <c r="B418">
        <v>42</v>
      </c>
      <c r="C418">
        <v>16</v>
      </c>
      <c r="D418">
        <v>2</v>
      </c>
      <c r="E418">
        <v>2</v>
      </c>
      <c r="F418">
        <v>8</v>
      </c>
      <c r="G418">
        <v>24</v>
      </c>
      <c r="H418" t="s">
        <v>461</v>
      </c>
      <c r="I418" t="s">
        <v>462</v>
      </c>
      <c r="J418" t="s">
        <v>456</v>
      </c>
      <c r="K418" t="s">
        <v>463</v>
      </c>
      <c r="L418">
        <v>2025</v>
      </c>
      <c r="M418" t="s">
        <v>24</v>
      </c>
      <c r="N418">
        <v>1468.38</v>
      </c>
      <c r="O418">
        <v>13.64</v>
      </c>
      <c r="P418">
        <v>24.776235961086901</v>
      </c>
      <c r="Q418">
        <v>4.7909567695295037</v>
      </c>
      <c r="R418" s="3">
        <v>51.569379571538633</v>
      </c>
      <c r="S418">
        <v>28.797856321839014</v>
      </c>
      <c r="T418" s="3">
        <f t="shared" si="17"/>
        <v>28.797856321839014</v>
      </c>
      <c r="U418">
        <f t="shared" si="18"/>
        <v>4.021620360752113</v>
      </c>
    </row>
    <row r="419" spans="1:21" hidden="1" x14ac:dyDescent="0.25">
      <c r="A419" t="s">
        <v>183</v>
      </c>
      <c r="B419">
        <v>57</v>
      </c>
      <c r="C419">
        <v>15</v>
      </c>
      <c r="D419">
        <v>2</v>
      </c>
      <c r="E419">
        <v>6</v>
      </c>
      <c r="F419">
        <v>12</v>
      </c>
      <c r="G419">
        <v>27</v>
      </c>
      <c r="H419" t="s">
        <v>467</v>
      </c>
      <c r="I419" t="s">
        <v>468</v>
      </c>
      <c r="J419" t="s">
        <v>456</v>
      </c>
      <c r="K419" t="s">
        <v>469</v>
      </c>
      <c r="L419">
        <v>2025</v>
      </c>
      <c r="M419" t="s">
        <v>24</v>
      </c>
      <c r="N419">
        <v>798.34</v>
      </c>
      <c r="O419">
        <v>11</v>
      </c>
      <c r="P419">
        <v>13.8823225406333</v>
      </c>
      <c r="Q419">
        <v>4.7947853619135818</v>
      </c>
      <c r="R419" s="3">
        <v>51.610590157101598</v>
      </c>
      <c r="S419">
        <v>16.122784307496666</v>
      </c>
      <c r="T419" s="3">
        <f t="shared" ref="T419:T473" si="19">IF(N419&lt;= 0, -9, N419/ 453.6 / (R419/ 43560) * ((100 - O419) / (100 - 18)) / 100)</f>
        <v>16.122784307496666</v>
      </c>
      <c r="U419">
        <f t="shared" si="18"/>
        <v>2.2404617668633655</v>
      </c>
    </row>
    <row r="420" spans="1:21" hidden="1" x14ac:dyDescent="0.25">
      <c r="A420" t="s">
        <v>79</v>
      </c>
      <c r="B420">
        <v>37</v>
      </c>
      <c r="C420">
        <v>11</v>
      </c>
      <c r="D420">
        <v>1</v>
      </c>
      <c r="E420">
        <v>4</v>
      </c>
      <c r="F420">
        <v>4</v>
      </c>
      <c r="G420">
        <v>25</v>
      </c>
      <c r="H420" t="s">
        <v>502</v>
      </c>
      <c r="I420" t="s">
        <v>503</v>
      </c>
      <c r="J420" t="s">
        <v>456</v>
      </c>
      <c r="K420" t="s">
        <v>480</v>
      </c>
      <c r="L420">
        <v>2025</v>
      </c>
      <c r="M420" t="s">
        <v>24</v>
      </c>
      <c r="N420">
        <v>1360.8</v>
      </c>
      <c r="O420">
        <v>13.7</v>
      </c>
      <c r="P420">
        <v>22.945067018237701</v>
      </c>
      <c r="Q420">
        <v>4.8052677111908748</v>
      </c>
      <c r="R420" s="3">
        <v>51.723421116487458</v>
      </c>
      <c r="S420">
        <v>26.590029959073387</v>
      </c>
      <c r="T420" s="3">
        <f t="shared" si="19"/>
        <v>26.590029959073387</v>
      </c>
      <c r="U420">
        <f t="shared" si="18"/>
        <v>3.6449629408356863</v>
      </c>
    </row>
    <row r="421" spans="1:21" hidden="1" x14ac:dyDescent="0.25">
      <c r="A421" t="s">
        <v>250</v>
      </c>
      <c r="B421">
        <v>40</v>
      </c>
      <c r="C421">
        <v>5</v>
      </c>
      <c r="D421">
        <v>4</v>
      </c>
      <c r="E421">
        <v>6</v>
      </c>
      <c r="F421">
        <v>24</v>
      </c>
      <c r="G421">
        <v>24</v>
      </c>
      <c r="H421" t="s">
        <v>464</v>
      </c>
      <c r="I421" t="s">
        <v>465</v>
      </c>
      <c r="J421" t="s">
        <v>456</v>
      </c>
      <c r="K421" t="s">
        <v>466</v>
      </c>
      <c r="L421">
        <v>2025</v>
      </c>
      <c r="M421" t="s">
        <v>24</v>
      </c>
      <c r="N421">
        <v>1215.6500000000001</v>
      </c>
      <c r="O421">
        <v>13.9</v>
      </c>
      <c r="P421">
        <v>20.450123734845999</v>
      </c>
      <c r="Q421">
        <v>4.8521531778815401</v>
      </c>
      <c r="R421" s="3">
        <v>52.228091591399107</v>
      </c>
      <c r="S421">
        <v>23.469753140827514</v>
      </c>
      <c r="T421" s="3">
        <f t="shared" si="19"/>
        <v>23.469753140827514</v>
      </c>
      <c r="U421">
        <f t="shared" si="18"/>
        <v>3.0196294059815152</v>
      </c>
    </row>
    <row r="422" spans="1:21" hidden="1" x14ac:dyDescent="0.25">
      <c r="A422" t="s">
        <v>203</v>
      </c>
      <c r="B422">
        <v>55</v>
      </c>
      <c r="C422">
        <v>27</v>
      </c>
      <c r="D422">
        <v>3</v>
      </c>
      <c r="E422">
        <v>3</v>
      </c>
      <c r="F422">
        <v>15</v>
      </c>
      <c r="G422">
        <v>27</v>
      </c>
      <c r="H422" t="s">
        <v>494</v>
      </c>
      <c r="I422" t="s">
        <v>495</v>
      </c>
      <c r="J422" t="s">
        <v>456</v>
      </c>
      <c r="K422" t="s">
        <v>483</v>
      </c>
      <c r="L422">
        <v>2025</v>
      </c>
      <c r="M422" t="s">
        <v>24</v>
      </c>
      <c r="N422">
        <v>1034.21</v>
      </c>
      <c r="O422">
        <v>13.3</v>
      </c>
      <c r="P422">
        <v>17.5191110051205</v>
      </c>
      <c r="Q422">
        <v>4.8590901422131658</v>
      </c>
      <c r="R422" s="3">
        <v>52.302760381768287</v>
      </c>
      <c r="S422">
        <v>20.077248427847124</v>
      </c>
      <c r="T422" s="3">
        <f t="shared" si="19"/>
        <v>20.077248427847124</v>
      </c>
      <c r="U422">
        <f t="shared" si="18"/>
        <v>2.5581374227266238</v>
      </c>
    </row>
    <row r="423" spans="1:21" hidden="1" x14ac:dyDescent="0.25">
      <c r="A423" t="s">
        <v>181</v>
      </c>
      <c r="B423">
        <v>43</v>
      </c>
      <c r="C423">
        <v>17</v>
      </c>
      <c r="D423">
        <v>2</v>
      </c>
      <c r="E423">
        <v>6</v>
      </c>
      <c r="F423">
        <v>12</v>
      </c>
      <c r="G423">
        <v>24</v>
      </c>
      <c r="H423" t="s">
        <v>533</v>
      </c>
      <c r="I423" t="s">
        <v>534</v>
      </c>
      <c r="J423" t="s">
        <v>456</v>
      </c>
      <c r="K423" t="s">
        <v>535</v>
      </c>
      <c r="L423">
        <v>2025</v>
      </c>
      <c r="M423" t="s">
        <v>24</v>
      </c>
      <c r="N423">
        <v>1823.7</v>
      </c>
      <c r="O423">
        <v>14.8</v>
      </c>
      <c r="P423">
        <v>30.358284533081299</v>
      </c>
      <c r="Q423">
        <v>4.8741594862231308</v>
      </c>
      <c r="R423" s="3">
        <v>52.464965293757153</v>
      </c>
      <c r="S423">
        <v>34.683632491212506</v>
      </c>
      <c r="T423" s="3">
        <f t="shared" si="19"/>
        <v>34.683632491212506</v>
      </c>
      <c r="U423">
        <f t="shared" si="18"/>
        <v>4.3253479581312071</v>
      </c>
    </row>
    <row r="424" spans="1:21" hidden="1" x14ac:dyDescent="0.25">
      <c r="A424" t="s">
        <v>178</v>
      </c>
      <c r="B424">
        <v>58</v>
      </c>
      <c r="C424">
        <v>27</v>
      </c>
      <c r="D424">
        <v>2</v>
      </c>
      <c r="E424">
        <v>5</v>
      </c>
      <c r="F424">
        <v>11</v>
      </c>
      <c r="G424">
        <v>26</v>
      </c>
      <c r="H424" t="s">
        <v>494</v>
      </c>
      <c r="I424" t="s">
        <v>495</v>
      </c>
      <c r="J424" t="s">
        <v>456</v>
      </c>
      <c r="K424" t="s">
        <v>483</v>
      </c>
      <c r="L424">
        <v>2025</v>
      </c>
      <c r="M424" t="s">
        <v>24</v>
      </c>
      <c r="N424">
        <v>1179.3599999999999</v>
      </c>
      <c r="O424">
        <v>12.6</v>
      </c>
      <c r="P424">
        <v>20.139192851388</v>
      </c>
      <c r="Q424">
        <v>4.881761442609835</v>
      </c>
      <c r="R424" s="3">
        <v>52.546791992107998</v>
      </c>
      <c r="S424">
        <v>22.972729138126947</v>
      </c>
      <c r="T424" s="3">
        <f t="shared" si="19"/>
        <v>22.972729138126947</v>
      </c>
      <c r="U424">
        <f t="shared" si="18"/>
        <v>2.8335362867389478</v>
      </c>
    </row>
    <row r="425" spans="1:21" hidden="1" x14ac:dyDescent="0.25">
      <c r="A425" t="s">
        <v>118</v>
      </c>
      <c r="B425">
        <v>33</v>
      </c>
      <c r="C425">
        <v>1</v>
      </c>
      <c r="D425">
        <v>1</v>
      </c>
      <c r="E425">
        <v>6</v>
      </c>
      <c r="F425">
        <v>6</v>
      </c>
      <c r="G425">
        <v>25</v>
      </c>
      <c r="H425" t="s">
        <v>528</v>
      </c>
      <c r="I425" t="s">
        <v>529</v>
      </c>
      <c r="J425" t="s">
        <v>456</v>
      </c>
      <c r="K425" t="s">
        <v>530</v>
      </c>
      <c r="L425">
        <v>2025</v>
      </c>
      <c r="M425" t="s">
        <v>24</v>
      </c>
      <c r="N425">
        <v>1564.92</v>
      </c>
      <c r="O425">
        <v>15.6</v>
      </c>
      <c r="P425">
        <v>25.805888815644899</v>
      </c>
      <c r="Q425">
        <v>4.9005244007927313</v>
      </c>
      <c r="R425" s="3">
        <v>52.74875459769288</v>
      </c>
      <c r="S425">
        <v>29.324009399027787</v>
      </c>
      <c r="T425" s="3">
        <f t="shared" si="19"/>
        <v>29.324009399027787</v>
      </c>
      <c r="U425">
        <f t="shared" si="18"/>
        <v>3.5181205833828884</v>
      </c>
    </row>
    <row r="426" spans="1:21" hidden="1" x14ac:dyDescent="0.25">
      <c r="A426" t="s">
        <v>197</v>
      </c>
      <c r="B426">
        <v>46</v>
      </c>
      <c r="C426">
        <v>10</v>
      </c>
      <c r="D426">
        <v>3</v>
      </c>
      <c r="E426">
        <v>2</v>
      </c>
      <c r="F426">
        <v>14</v>
      </c>
      <c r="G426">
        <v>26</v>
      </c>
      <c r="H426" t="s">
        <v>515</v>
      </c>
      <c r="I426" t="s">
        <v>516</v>
      </c>
      <c r="J426" t="s">
        <v>456</v>
      </c>
      <c r="K426" t="s">
        <v>517</v>
      </c>
      <c r="L426">
        <v>2025</v>
      </c>
      <c r="M426" t="s">
        <v>24</v>
      </c>
      <c r="N426">
        <v>1351.73</v>
      </c>
      <c r="O426">
        <v>14.8</v>
      </c>
      <c r="P426">
        <v>22.5016197575818</v>
      </c>
      <c r="Q426">
        <v>4.9061547386745996</v>
      </c>
      <c r="R426" s="3">
        <v>52.809358991619519</v>
      </c>
      <c r="S426">
        <v>25.539925384882839</v>
      </c>
      <c r="T426" s="3">
        <f t="shared" si="19"/>
        <v>25.539925384882839</v>
      </c>
      <c r="U426">
        <f t="shared" si="18"/>
        <v>3.0383056273010389</v>
      </c>
    </row>
    <row r="427" spans="1:21" hidden="1" x14ac:dyDescent="0.25">
      <c r="A427" t="s">
        <v>158</v>
      </c>
      <c r="B427">
        <v>50</v>
      </c>
      <c r="C427">
        <v>26</v>
      </c>
      <c r="D427">
        <v>2</v>
      </c>
      <c r="E427">
        <v>2</v>
      </c>
      <c r="F427">
        <v>8</v>
      </c>
      <c r="G427">
        <v>23</v>
      </c>
      <c r="H427" t="s">
        <v>489</v>
      </c>
      <c r="I427" t="s">
        <v>490</v>
      </c>
      <c r="J427" t="s">
        <v>456</v>
      </c>
      <c r="K427" t="s">
        <v>480</v>
      </c>
      <c r="L427">
        <v>2025</v>
      </c>
      <c r="M427" t="s">
        <v>24</v>
      </c>
      <c r="N427">
        <v>1365.34</v>
      </c>
      <c r="O427">
        <v>13.5</v>
      </c>
      <c r="P427">
        <v>23.0749705538549</v>
      </c>
      <c r="Q427">
        <v>4.9385258991885346</v>
      </c>
      <c r="R427" s="3">
        <v>53.157798926275468</v>
      </c>
      <c r="S427">
        <v>26.019018148518605</v>
      </c>
      <c r="T427" s="3">
        <f t="shared" si="19"/>
        <v>26.019018148518605</v>
      </c>
      <c r="U427">
        <f t="shared" si="18"/>
        <v>2.9440475946637044</v>
      </c>
    </row>
    <row r="428" spans="1:21" hidden="1" x14ac:dyDescent="0.25">
      <c r="A428" t="s">
        <v>211</v>
      </c>
      <c r="B428">
        <v>74</v>
      </c>
      <c r="C428">
        <v>9</v>
      </c>
      <c r="D428">
        <v>3</v>
      </c>
      <c r="E428">
        <v>5</v>
      </c>
      <c r="F428">
        <v>17</v>
      </c>
      <c r="G428">
        <v>25</v>
      </c>
      <c r="H428" t="s">
        <v>484</v>
      </c>
      <c r="I428" t="s">
        <v>485</v>
      </c>
      <c r="J428" t="s">
        <v>456</v>
      </c>
      <c r="K428" t="s">
        <v>486</v>
      </c>
      <c r="L428">
        <v>2025</v>
      </c>
      <c r="M428" t="s">
        <v>24</v>
      </c>
      <c r="N428">
        <v>1374.41</v>
      </c>
      <c r="O428">
        <v>15</v>
      </c>
      <c r="P428">
        <v>22.825456198875401</v>
      </c>
      <c r="Q428">
        <v>4.940149841697222</v>
      </c>
      <c r="R428" s="3">
        <v>53.175278881044733</v>
      </c>
      <c r="S428">
        <v>25.729208635110563</v>
      </c>
      <c r="T428" s="3">
        <f t="shared" si="19"/>
        <v>25.729208635110563</v>
      </c>
      <c r="U428">
        <f t="shared" si="18"/>
        <v>2.9037524362351625</v>
      </c>
    </row>
    <row r="429" spans="1:21" hidden="1" x14ac:dyDescent="0.25">
      <c r="A429" t="s">
        <v>76</v>
      </c>
      <c r="B429">
        <v>52</v>
      </c>
      <c r="C429">
        <v>24</v>
      </c>
      <c r="D429">
        <v>1</v>
      </c>
      <c r="E429">
        <v>4</v>
      </c>
      <c r="F429">
        <v>4</v>
      </c>
      <c r="G429">
        <v>24</v>
      </c>
      <c r="H429" t="s">
        <v>499</v>
      </c>
      <c r="I429" t="s">
        <v>500</v>
      </c>
      <c r="J429" t="s">
        <v>456</v>
      </c>
      <c r="K429" t="s">
        <v>501</v>
      </c>
      <c r="L429">
        <v>2025</v>
      </c>
      <c r="M429" t="s">
        <v>24</v>
      </c>
      <c r="N429">
        <v>1365.34</v>
      </c>
      <c r="O429">
        <v>13</v>
      </c>
      <c r="P429">
        <v>23.2083518865362</v>
      </c>
      <c r="Q429">
        <v>4.9416432727105706</v>
      </c>
      <c r="R429" s="3">
        <v>53.191354023129321</v>
      </c>
      <c r="S429">
        <v>26.152908449634101</v>
      </c>
      <c r="T429" s="3">
        <f t="shared" si="19"/>
        <v>26.152908449634101</v>
      </c>
      <c r="U429">
        <f t="shared" si="18"/>
        <v>2.9445565630979011</v>
      </c>
    </row>
    <row r="430" spans="1:21" hidden="1" x14ac:dyDescent="0.25">
      <c r="A430" t="s">
        <v>57</v>
      </c>
      <c r="B430">
        <v>48</v>
      </c>
      <c r="C430">
        <v>9</v>
      </c>
      <c r="D430">
        <v>1</v>
      </c>
      <c r="E430">
        <v>3</v>
      </c>
      <c r="F430">
        <v>3</v>
      </c>
      <c r="G430">
        <v>23</v>
      </c>
      <c r="H430" t="s">
        <v>484</v>
      </c>
      <c r="I430" t="s">
        <v>485</v>
      </c>
      <c r="J430" t="s">
        <v>456</v>
      </c>
      <c r="K430" t="s">
        <v>486</v>
      </c>
      <c r="L430">
        <v>2025</v>
      </c>
      <c r="M430" t="s">
        <v>24</v>
      </c>
      <c r="N430">
        <v>1361.03</v>
      </c>
      <c r="O430">
        <v>14.63</v>
      </c>
      <c r="P430">
        <v>22.7016390230403</v>
      </c>
      <c r="Q430">
        <v>4.9486222815747052</v>
      </c>
      <c r="R430" s="3">
        <v>53.266475376641957</v>
      </c>
      <c r="S430">
        <v>25.545828467519332</v>
      </c>
      <c r="T430" s="3">
        <f t="shared" si="19"/>
        <v>25.545828467519332</v>
      </c>
      <c r="U430">
        <f t="shared" si="18"/>
        <v>2.8441894444790314</v>
      </c>
    </row>
    <row r="431" spans="1:21" hidden="1" x14ac:dyDescent="0.25">
      <c r="A431" t="s">
        <v>37</v>
      </c>
      <c r="B431">
        <v>43</v>
      </c>
      <c r="C431">
        <v>15</v>
      </c>
      <c r="D431">
        <v>1</v>
      </c>
      <c r="E431">
        <v>1</v>
      </c>
      <c r="F431">
        <v>1</v>
      </c>
      <c r="G431">
        <v>27</v>
      </c>
      <c r="H431" t="s">
        <v>467</v>
      </c>
      <c r="I431" t="s">
        <v>468</v>
      </c>
      <c r="J431" t="s">
        <v>456</v>
      </c>
      <c r="K431" t="s">
        <v>469</v>
      </c>
      <c r="L431">
        <v>2025</v>
      </c>
      <c r="M431" t="s">
        <v>24</v>
      </c>
      <c r="N431">
        <v>498.96</v>
      </c>
      <c r="O431">
        <v>10.86</v>
      </c>
      <c r="P431">
        <v>8.6900563978612801</v>
      </c>
      <c r="Q431">
        <v>4.9547213910925691</v>
      </c>
      <c r="R431" s="3">
        <v>53.332125581581302</v>
      </c>
      <c r="S431">
        <v>9.7667583057611296</v>
      </c>
      <c r="T431" s="3">
        <f t="shared" si="19"/>
        <v>9.7667583057611296</v>
      </c>
      <c r="U431">
        <f t="shared" si="18"/>
        <v>1.0767019078998494</v>
      </c>
    </row>
    <row r="432" spans="1:21" hidden="1" x14ac:dyDescent="0.25">
      <c r="A432" t="s">
        <v>237</v>
      </c>
      <c r="B432">
        <v>37</v>
      </c>
      <c r="C432">
        <v>24</v>
      </c>
      <c r="D432">
        <v>4</v>
      </c>
      <c r="E432">
        <v>3</v>
      </c>
      <c r="F432">
        <v>21</v>
      </c>
      <c r="G432">
        <v>25</v>
      </c>
      <c r="H432" t="s">
        <v>499</v>
      </c>
      <c r="I432" t="s">
        <v>500</v>
      </c>
      <c r="J432" t="s">
        <v>456</v>
      </c>
      <c r="K432" t="s">
        <v>501</v>
      </c>
      <c r="L432">
        <v>2025</v>
      </c>
      <c r="M432" t="s">
        <v>24</v>
      </c>
      <c r="N432">
        <v>1034.21</v>
      </c>
      <c r="O432">
        <v>13.8</v>
      </c>
      <c r="P432">
        <v>17.418078069681499</v>
      </c>
      <c r="Q432">
        <v>4.9649794675530643</v>
      </c>
      <c r="R432" s="3">
        <v>53.442542490794423</v>
      </c>
      <c r="S432">
        <v>19.535739709175459</v>
      </c>
      <c r="T432" s="3">
        <f t="shared" si="19"/>
        <v>19.535739709175459</v>
      </c>
      <c r="U432">
        <f t="shared" si="18"/>
        <v>2.11766163949396</v>
      </c>
    </row>
    <row r="433" spans="1:21" hidden="1" x14ac:dyDescent="0.25">
      <c r="A433" t="s">
        <v>200</v>
      </c>
      <c r="B433">
        <v>52</v>
      </c>
      <c r="C433">
        <v>7</v>
      </c>
      <c r="D433">
        <v>3</v>
      </c>
      <c r="E433">
        <v>3</v>
      </c>
      <c r="F433">
        <v>15</v>
      </c>
      <c r="G433">
        <v>24</v>
      </c>
      <c r="H433" t="s">
        <v>531</v>
      </c>
      <c r="I433" t="s">
        <v>497</v>
      </c>
      <c r="J433" t="s">
        <v>456</v>
      </c>
      <c r="K433" t="s">
        <v>532</v>
      </c>
      <c r="L433">
        <v>2025</v>
      </c>
      <c r="M433" t="s">
        <v>24</v>
      </c>
      <c r="N433">
        <v>1265.54</v>
      </c>
      <c r="O433">
        <v>11.9</v>
      </c>
      <c r="P433">
        <v>21.783919281909299</v>
      </c>
      <c r="Q433">
        <v>4.9657147050143191</v>
      </c>
      <c r="R433" s="3">
        <v>53.450456513303628</v>
      </c>
      <c r="S433">
        <v>24.428755279810467</v>
      </c>
      <c r="T433" s="3">
        <f t="shared" si="19"/>
        <v>24.428755279810467</v>
      </c>
      <c r="U433">
        <f t="shared" si="18"/>
        <v>2.6448359979011684</v>
      </c>
    </row>
    <row r="434" spans="1:21" hidden="1" x14ac:dyDescent="0.25">
      <c r="A434" t="s">
        <v>305</v>
      </c>
      <c r="B434">
        <v>43</v>
      </c>
      <c r="C434">
        <v>2</v>
      </c>
      <c r="D434">
        <v>1</v>
      </c>
      <c r="E434">
        <v>4</v>
      </c>
      <c r="F434">
        <v>4</v>
      </c>
      <c r="G434">
        <v>23</v>
      </c>
      <c r="H434" t="s">
        <v>496</v>
      </c>
      <c r="I434" t="s">
        <v>497</v>
      </c>
      <c r="J434" t="s">
        <v>456</v>
      </c>
      <c r="K434" t="s">
        <v>498</v>
      </c>
      <c r="L434">
        <v>2025</v>
      </c>
      <c r="M434" t="s">
        <v>24</v>
      </c>
      <c r="N434">
        <v>1404.87</v>
      </c>
      <c r="O434">
        <v>13.66</v>
      </c>
      <c r="P434">
        <v>23.699130753866498</v>
      </c>
      <c r="Q434">
        <v>4.9842053202713874</v>
      </c>
      <c r="R434" s="3">
        <v>53.649487646869183</v>
      </c>
      <c r="S434">
        <v>26.477902393717585</v>
      </c>
      <c r="T434" s="3">
        <f t="shared" si="19"/>
        <v>26.477902393717585</v>
      </c>
      <c r="U434">
        <f t="shared" si="18"/>
        <v>2.7787716398510867</v>
      </c>
    </row>
    <row r="435" spans="1:21" hidden="1" x14ac:dyDescent="0.25">
      <c r="A435" t="s">
        <v>217</v>
      </c>
      <c r="B435">
        <v>56</v>
      </c>
      <c r="C435">
        <v>24</v>
      </c>
      <c r="D435">
        <v>3</v>
      </c>
      <c r="E435">
        <v>6</v>
      </c>
      <c r="F435">
        <v>18</v>
      </c>
      <c r="G435">
        <v>26</v>
      </c>
      <c r="H435" t="s">
        <v>499</v>
      </c>
      <c r="I435" t="s">
        <v>500</v>
      </c>
      <c r="J435" t="s">
        <v>456</v>
      </c>
      <c r="K435" t="s">
        <v>501</v>
      </c>
      <c r="L435">
        <v>2025</v>
      </c>
      <c r="M435" t="s">
        <v>24</v>
      </c>
      <c r="N435">
        <v>1043.28</v>
      </c>
      <c r="O435">
        <v>14.1</v>
      </c>
      <c r="P435">
        <v>17.5096828535853</v>
      </c>
      <c r="Q435">
        <v>4.9933531977384309</v>
      </c>
      <c r="R435" s="3">
        <v>53.747954485136702</v>
      </c>
      <c r="S435">
        <v>19.526889912324688</v>
      </c>
      <c r="T435" s="3">
        <f t="shared" si="19"/>
        <v>19.526889912324688</v>
      </c>
      <c r="U435">
        <f t="shared" si="18"/>
        <v>2.0172070587393875</v>
      </c>
    </row>
    <row r="436" spans="1:21" hidden="1" x14ac:dyDescent="0.25">
      <c r="A436" t="s">
        <v>173</v>
      </c>
      <c r="B436">
        <v>36</v>
      </c>
      <c r="C436">
        <v>12</v>
      </c>
      <c r="D436">
        <v>2</v>
      </c>
      <c r="E436">
        <v>4</v>
      </c>
      <c r="F436">
        <v>10</v>
      </c>
      <c r="G436">
        <v>26</v>
      </c>
      <c r="H436" t="s">
        <v>478</v>
      </c>
      <c r="I436" t="s">
        <v>479</v>
      </c>
      <c r="J436" t="s">
        <v>456</v>
      </c>
      <c r="K436" t="s">
        <v>480</v>
      </c>
      <c r="L436">
        <v>2025</v>
      </c>
      <c r="M436" t="s">
        <v>24</v>
      </c>
      <c r="N436">
        <v>1265.54</v>
      </c>
      <c r="O436">
        <v>13.8</v>
      </c>
      <c r="P436">
        <v>21.314118525545801</v>
      </c>
      <c r="Q436">
        <v>5.0088122971266991</v>
      </c>
      <c r="R436" s="3">
        <v>53.914354685042071</v>
      </c>
      <c r="S436">
        <v>23.696254399863243</v>
      </c>
      <c r="T436" s="3">
        <f t="shared" si="19"/>
        <v>23.696254399863243</v>
      </c>
      <c r="U436">
        <f t="shared" si="18"/>
        <v>2.3821358743174414</v>
      </c>
    </row>
    <row r="437" spans="1:21" hidden="1" x14ac:dyDescent="0.25">
      <c r="A437" t="s">
        <v>191</v>
      </c>
      <c r="B437">
        <v>50</v>
      </c>
      <c r="C437">
        <v>29</v>
      </c>
      <c r="D437">
        <v>3</v>
      </c>
      <c r="E437">
        <v>1</v>
      </c>
      <c r="F437">
        <v>13</v>
      </c>
      <c r="G437">
        <v>24</v>
      </c>
      <c r="H437" t="s">
        <v>487</v>
      </c>
      <c r="I437" t="s">
        <v>488</v>
      </c>
      <c r="J437" t="s">
        <v>456</v>
      </c>
      <c r="K437" t="s">
        <v>480</v>
      </c>
      <c r="L437">
        <v>2025</v>
      </c>
      <c r="M437" t="s">
        <v>24</v>
      </c>
      <c r="N437">
        <v>1310.9</v>
      </c>
      <c r="O437">
        <v>14.7</v>
      </c>
      <c r="P437">
        <v>21.847554371379999</v>
      </c>
      <c r="Q437">
        <v>5.0088720831614246</v>
      </c>
      <c r="R437" s="3">
        <v>53.914998215941253</v>
      </c>
      <c r="S437">
        <v>24.28901886958278</v>
      </c>
      <c r="T437" s="3">
        <f t="shared" si="19"/>
        <v>24.28901886958278</v>
      </c>
      <c r="U437">
        <f t="shared" si="18"/>
        <v>2.4414644982027802</v>
      </c>
    </row>
    <row r="438" spans="1:21" hidden="1" x14ac:dyDescent="0.25">
      <c r="A438" t="s">
        <v>122</v>
      </c>
      <c r="B438">
        <v>52</v>
      </c>
      <c r="C438">
        <v>7</v>
      </c>
      <c r="D438">
        <v>1</v>
      </c>
      <c r="E438">
        <v>6</v>
      </c>
      <c r="F438">
        <v>6</v>
      </c>
      <c r="G438">
        <v>26</v>
      </c>
      <c r="H438" t="s">
        <v>531</v>
      </c>
      <c r="I438" t="s">
        <v>497</v>
      </c>
      <c r="J438" t="s">
        <v>456</v>
      </c>
      <c r="K438" t="s">
        <v>532</v>
      </c>
      <c r="L438">
        <v>2025</v>
      </c>
      <c r="M438" t="s">
        <v>24</v>
      </c>
      <c r="N438">
        <v>1088.6400000000001</v>
      </c>
      <c r="O438">
        <v>11.7</v>
      </c>
      <c r="P438">
        <v>18.7814546253571</v>
      </c>
      <c r="Q438">
        <v>5.0176781531799728</v>
      </c>
      <c r="R438" s="3">
        <v>54.009785873013897</v>
      </c>
      <c r="S438">
        <v>20.843637352881842</v>
      </c>
      <c r="T438" s="3">
        <f t="shared" si="19"/>
        <v>20.843637352881842</v>
      </c>
      <c r="U438">
        <f t="shared" si="18"/>
        <v>2.0621827275247426</v>
      </c>
    </row>
    <row r="439" spans="1:21" hidden="1" x14ac:dyDescent="0.25">
      <c r="A439" t="s">
        <v>214</v>
      </c>
      <c r="B439">
        <v>61</v>
      </c>
      <c r="C439">
        <v>3</v>
      </c>
      <c r="D439">
        <v>3</v>
      </c>
      <c r="E439">
        <v>6</v>
      </c>
      <c r="F439">
        <v>18</v>
      </c>
      <c r="G439">
        <v>23</v>
      </c>
      <c r="H439" t="s">
        <v>491</v>
      </c>
      <c r="I439" t="s">
        <v>492</v>
      </c>
      <c r="J439" t="s">
        <v>456</v>
      </c>
      <c r="K439" t="s">
        <v>493</v>
      </c>
      <c r="L439">
        <v>2025</v>
      </c>
      <c r="M439" t="s">
        <v>24</v>
      </c>
      <c r="N439">
        <v>1238.33</v>
      </c>
      <c r="O439">
        <v>13.9</v>
      </c>
      <c r="P439">
        <v>20.831655266377499</v>
      </c>
      <c r="Q439">
        <v>5.0277254591173319</v>
      </c>
      <c r="R439" s="3">
        <v>54.117934069393037</v>
      </c>
      <c r="S439">
        <v>23.072747290492988</v>
      </c>
      <c r="T439" s="3">
        <f t="shared" si="19"/>
        <v>23.072747290492988</v>
      </c>
      <c r="U439">
        <f t="shared" si="18"/>
        <v>2.2410920241154884</v>
      </c>
    </row>
    <row r="440" spans="1:21" hidden="1" x14ac:dyDescent="0.25">
      <c r="A440" t="s">
        <v>175</v>
      </c>
      <c r="B440">
        <v>43</v>
      </c>
      <c r="C440">
        <v>20</v>
      </c>
      <c r="D440">
        <v>2</v>
      </c>
      <c r="E440">
        <v>5</v>
      </c>
      <c r="F440">
        <v>11</v>
      </c>
      <c r="G440">
        <v>23</v>
      </c>
      <c r="H440" t="s">
        <v>470</v>
      </c>
      <c r="I440" t="s">
        <v>459</v>
      </c>
      <c r="J440" t="s">
        <v>456</v>
      </c>
      <c r="K440" t="s">
        <v>471</v>
      </c>
      <c r="L440">
        <v>2025</v>
      </c>
      <c r="M440" t="s">
        <v>24</v>
      </c>
      <c r="N440">
        <v>1818.94</v>
      </c>
      <c r="O440">
        <v>15.3</v>
      </c>
      <c r="P440">
        <v>30.101353092026098</v>
      </c>
      <c r="Q440">
        <v>5.0325768504474828</v>
      </c>
      <c r="R440" s="3">
        <v>54.170153960531657</v>
      </c>
      <c r="S440">
        <v>33.307549866862793</v>
      </c>
      <c r="T440" s="3">
        <f t="shared" si="19"/>
        <v>33.307549866862793</v>
      </c>
      <c r="U440">
        <f t="shared" si="18"/>
        <v>3.2061967748366946</v>
      </c>
    </row>
    <row r="441" spans="1:21" hidden="1" x14ac:dyDescent="0.25">
      <c r="A441" t="s">
        <v>196</v>
      </c>
      <c r="B441">
        <v>68</v>
      </c>
      <c r="C441">
        <v>22</v>
      </c>
      <c r="D441">
        <v>3</v>
      </c>
      <c r="E441">
        <v>2</v>
      </c>
      <c r="F441">
        <v>14</v>
      </c>
      <c r="G441">
        <v>25</v>
      </c>
      <c r="H441" t="s">
        <v>472</v>
      </c>
      <c r="I441" t="s">
        <v>473</v>
      </c>
      <c r="J441" t="s">
        <v>456</v>
      </c>
      <c r="K441" t="s">
        <v>474</v>
      </c>
      <c r="L441">
        <v>2025</v>
      </c>
      <c r="M441" t="s">
        <v>24</v>
      </c>
      <c r="N441">
        <v>1224.72</v>
      </c>
      <c r="O441">
        <v>15</v>
      </c>
      <c r="P441">
        <v>20.339485827290702</v>
      </c>
      <c r="Q441">
        <v>5.0433436736514894</v>
      </c>
      <c r="R441" s="3">
        <v>54.286046968817253</v>
      </c>
      <c r="S441">
        <v>22.457866220911292</v>
      </c>
      <c r="T441" s="3">
        <f t="shared" si="19"/>
        <v>22.457866220911292</v>
      </c>
      <c r="U441">
        <f t="shared" si="18"/>
        <v>2.1183803936205905</v>
      </c>
    </row>
    <row r="442" spans="1:21" hidden="1" x14ac:dyDescent="0.25">
      <c r="A442" t="s">
        <v>252</v>
      </c>
      <c r="B442">
        <v>43</v>
      </c>
      <c r="C442">
        <v>15</v>
      </c>
      <c r="D442">
        <v>4</v>
      </c>
      <c r="E442">
        <v>6</v>
      </c>
      <c r="F442">
        <v>24</v>
      </c>
      <c r="G442">
        <v>26</v>
      </c>
      <c r="H442" t="s">
        <v>467</v>
      </c>
      <c r="I442" t="s">
        <v>468</v>
      </c>
      <c r="J442" t="s">
        <v>456</v>
      </c>
      <c r="K442" t="s">
        <v>469</v>
      </c>
      <c r="L442">
        <v>2025</v>
      </c>
      <c r="M442" t="s">
        <v>24</v>
      </c>
      <c r="N442">
        <v>743.9</v>
      </c>
      <c r="O442">
        <v>11.5</v>
      </c>
      <c r="P442">
        <v>12.862993897885501</v>
      </c>
      <c r="Q442">
        <v>5.0527297754613496</v>
      </c>
      <c r="R442" s="3">
        <v>54.387078030088418</v>
      </c>
      <c r="S442">
        <v>14.176305883039241</v>
      </c>
      <c r="T442" s="3">
        <f t="shared" si="19"/>
        <v>14.176305883039241</v>
      </c>
      <c r="U442">
        <f t="shared" si="18"/>
        <v>1.3133119851537405</v>
      </c>
    </row>
    <row r="443" spans="1:21" hidden="1" x14ac:dyDescent="0.25">
      <c r="A443" t="s">
        <v>53</v>
      </c>
      <c r="B443">
        <v>40</v>
      </c>
      <c r="C443">
        <v>28</v>
      </c>
      <c r="D443">
        <v>1</v>
      </c>
      <c r="E443">
        <v>2</v>
      </c>
      <c r="F443">
        <v>2</v>
      </c>
      <c r="G443">
        <v>27</v>
      </c>
      <c r="H443" t="s">
        <v>481</v>
      </c>
      <c r="I443" t="s">
        <v>482</v>
      </c>
      <c r="J443" t="s">
        <v>456</v>
      </c>
      <c r="K443" t="s">
        <v>483</v>
      </c>
      <c r="L443">
        <v>2025</v>
      </c>
      <c r="M443" t="s">
        <v>24</v>
      </c>
      <c r="N443">
        <v>739.37</v>
      </c>
      <c r="O443">
        <v>11.4</v>
      </c>
      <c r="P443">
        <v>12.799110282692</v>
      </c>
      <c r="Q443">
        <v>5.0705338602669787</v>
      </c>
      <c r="R443" s="3">
        <v>54.578719418527733</v>
      </c>
      <c r="S443">
        <v>14.05636992802231</v>
      </c>
      <c r="T443" s="3">
        <f t="shared" si="19"/>
        <v>14.05636992802231</v>
      </c>
      <c r="U443">
        <f t="shared" si="18"/>
        <v>1.2572596453303095</v>
      </c>
    </row>
    <row r="444" spans="1:21" hidden="1" x14ac:dyDescent="0.25">
      <c r="A444" t="s">
        <v>91</v>
      </c>
      <c r="B444">
        <v>46</v>
      </c>
      <c r="C444">
        <v>18</v>
      </c>
      <c r="D444">
        <v>1</v>
      </c>
      <c r="E444">
        <v>5</v>
      </c>
      <c r="F444">
        <v>5</v>
      </c>
      <c r="G444">
        <v>23</v>
      </c>
      <c r="H444" t="s">
        <v>509</v>
      </c>
      <c r="I444" t="s">
        <v>510</v>
      </c>
      <c r="J444" t="s">
        <v>456</v>
      </c>
      <c r="K444" t="s">
        <v>511</v>
      </c>
      <c r="L444">
        <v>2025</v>
      </c>
      <c r="M444" t="s">
        <v>24</v>
      </c>
      <c r="N444">
        <v>1505.95</v>
      </c>
      <c r="O444">
        <v>15.5</v>
      </c>
      <c r="P444">
        <v>24.862883555577799</v>
      </c>
      <c r="Q444">
        <v>5.0719307582556796</v>
      </c>
      <c r="R444" s="3">
        <v>54.593755488788311</v>
      </c>
      <c r="S444">
        <v>27.297650197876287</v>
      </c>
      <c r="T444" s="3">
        <f t="shared" si="19"/>
        <v>27.297650197876287</v>
      </c>
      <c r="U444">
        <f t="shared" si="18"/>
        <v>2.4347666422984879</v>
      </c>
    </row>
    <row r="445" spans="1:21" hidden="1" x14ac:dyDescent="0.25">
      <c r="A445" t="s">
        <v>163</v>
      </c>
      <c r="B445">
        <v>40</v>
      </c>
      <c r="C445">
        <v>18</v>
      </c>
      <c r="D445">
        <v>2</v>
      </c>
      <c r="E445">
        <v>3</v>
      </c>
      <c r="F445">
        <v>9</v>
      </c>
      <c r="G445">
        <v>23</v>
      </c>
      <c r="H445" t="s">
        <v>509</v>
      </c>
      <c r="I445" t="s">
        <v>510</v>
      </c>
      <c r="J445" t="s">
        <v>456</v>
      </c>
      <c r="K445" t="s">
        <v>511</v>
      </c>
      <c r="L445">
        <v>2025</v>
      </c>
      <c r="M445" t="s">
        <v>24</v>
      </c>
      <c r="N445">
        <v>1664.71</v>
      </c>
      <c r="O445">
        <v>15.6</v>
      </c>
      <c r="P445">
        <v>27.451448745170499</v>
      </c>
      <c r="Q445">
        <v>5.0736104064363099</v>
      </c>
      <c r="R445" s="3">
        <v>54.611835053839791</v>
      </c>
      <c r="S445">
        <v>30.129729868321441</v>
      </c>
      <c r="T445" s="3">
        <f t="shared" si="19"/>
        <v>30.129729868321441</v>
      </c>
      <c r="U445">
        <f t="shared" si="18"/>
        <v>2.678281123150942</v>
      </c>
    </row>
    <row r="446" spans="1:21" hidden="1" x14ac:dyDescent="0.25">
      <c r="A446" t="s">
        <v>161</v>
      </c>
      <c r="B446">
        <v>46</v>
      </c>
      <c r="C446">
        <v>8</v>
      </c>
      <c r="D446">
        <v>2</v>
      </c>
      <c r="E446">
        <v>2</v>
      </c>
      <c r="F446">
        <v>8</v>
      </c>
      <c r="G446">
        <v>26</v>
      </c>
      <c r="H446" t="s">
        <v>522</v>
      </c>
      <c r="I446" t="s">
        <v>523</v>
      </c>
      <c r="J446" t="s">
        <v>456</v>
      </c>
      <c r="K446" t="s">
        <v>524</v>
      </c>
      <c r="L446">
        <v>2025</v>
      </c>
      <c r="M446" t="s">
        <v>24</v>
      </c>
      <c r="N446">
        <v>1496.88</v>
      </c>
      <c r="O446">
        <v>13.1</v>
      </c>
      <c r="P446">
        <v>25.4150516370029</v>
      </c>
      <c r="Q446">
        <v>5.0747237869437383</v>
      </c>
      <c r="R446" s="3">
        <v>54.623819370283712</v>
      </c>
      <c r="S446">
        <v>27.888533110350298</v>
      </c>
      <c r="T446" s="3">
        <f t="shared" si="19"/>
        <v>27.888533110350298</v>
      </c>
      <c r="U446">
        <f t="shared" si="18"/>
        <v>2.4734814733473982</v>
      </c>
    </row>
    <row r="447" spans="1:21" hidden="1" x14ac:dyDescent="0.25">
      <c r="A447" t="s">
        <v>153</v>
      </c>
      <c r="B447">
        <v>63</v>
      </c>
      <c r="C447">
        <v>28</v>
      </c>
      <c r="D447">
        <v>2</v>
      </c>
      <c r="E447">
        <v>1</v>
      </c>
      <c r="F447">
        <v>7</v>
      </c>
      <c r="G447">
        <v>23</v>
      </c>
      <c r="H447" t="s">
        <v>481</v>
      </c>
      <c r="I447" t="s">
        <v>482</v>
      </c>
      <c r="J447" t="s">
        <v>456</v>
      </c>
      <c r="K447" t="s">
        <v>483</v>
      </c>
      <c r="L447">
        <v>2025</v>
      </c>
      <c r="M447" t="s">
        <v>24</v>
      </c>
      <c r="N447">
        <v>911.74</v>
      </c>
      <c r="O447">
        <v>13.3</v>
      </c>
      <c r="P447">
        <v>15.4445173299509</v>
      </c>
      <c r="Q447">
        <v>5.07569067947479</v>
      </c>
      <c r="R447" s="3">
        <v>54.634226904798687</v>
      </c>
      <c r="S447">
        <v>16.944403191984183</v>
      </c>
      <c r="T447" s="3">
        <f t="shared" si="19"/>
        <v>16.944403191984183</v>
      </c>
      <c r="U447">
        <f t="shared" si="18"/>
        <v>1.4998858620332829</v>
      </c>
    </row>
    <row r="448" spans="1:21" hidden="1" x14ac:dyDescent="0.25">
      <c r="A448" t="s">
        <v>376</v>
      </c>
      <c r="B448">
        <v>40</v>
      </c>
      <c r="C448">
        <v>17</v>
      </c>
      <c r="D448">
        <v>3</v>
      </c>
      <c r="E448">
        <v>2</v>
      </c>
      <c r="F448">
        <v>14</v>
      </c>
      <c r="G448">
        <v>23</v>
      </c>
      <c r="H448" t="s">
        <v>533</v>
      </c>
      <c r="I448" t="s">
        <v>534</v>
      </c>
      <c r="J448" t="s">
        <v>456</v>
      </c>
      <c r="K448" t="s">
        <v>535</v>
      </c>
      <c r="L448">
        <v>2025</v>
      </c>
      <c r="M448" t="s">
        <v>24</v>
      </c>
      <c r="N448">
        <v>1719.14</v>
      </c>
      <c r="O448">
        <v>14</v>
      </c>
      <c r="P448">
        <v>28.886433923922599</v>
      </c>
      <c r="Q448">
        <v>5.0812006053384344</v>
      </c>
      <c r="R448" s="3">
        <v>54.693535195802362</v>
      </c>
      <c r="S448">
        <v>31.657358464786327</v>
      </c>
      <c r="T448" s="3">
        <f t="shared" si="19"/>
        <v>31.657358464786327</v>
      </c>
      <c r="U448">
        <f t="shared" si="18"/>
        <v>2.770924540863728</v>
      </c>
    </row>
    <row r="449" spans="1:21" hidden="1" x14ac:dyDescent="0.25">
      <c r="A449" t="s">
        <v>83</v>
      </c>
      <c r="B449">
        <v>54</v>
      </c>
      <c r="C449">
        <v>14</v>
      </c>
      <c r="D449">
        <v>1</v>
      </c>
      <c r="E449">
        <v>4</v>
      </c>
      <c r="F449">
        <v>4</v>
      </c>
      <c r="G449">
        <v>26</v>
      </c>
      <c r="H449" t="s">
        <v>504</v>
      </c>
      <c r="I449" t="s">
        <v>505</v>
      </c>
      <c r="J449" t="s">
        <v>456</v>
      </c>
      <c r="K449" t="s">
        <v>483</v>
      </c>
      <c r="L449">
        <v>2025</v>
      </c>
      <c r="M449" t="s">
        <v>24</v>
      </c>
      <c r="N449">
        <v>784.73</v>
      </c>
      <c r="O449">
        <v>12.2</v>
      </c>
      <c r="P449">
        <v>13.4616720443505</v>
      </c>
      <c r="Q449">
        <v>5.0868291505435774</v>
      </c>
      <c r="R449" s="3">
        <v>54.754120293535998</v>
      </c>
      <c r="S449">
        <v>14.736655762390617</v>
      </c>
      <c r="T449" s="3">
        <f t="shared" si="19"/>
        <v>14.736655762390617</v>
      </c>
      <c r="U449">
        <f t="shared" si="18"/>
        <v>1.2749837180401169</v>
      </c>
    </row>
    <row r="450" spans="1:21" hidden="1" x14ac:dyDescent="0.25">
      <c r="A450" t="s">
        <v>236</v>
      </c>
      <c r="B450">
        <v>41</v>
      </c>
      <c r="C450">
        <v>19</v>
      </c>
      <c r="D450">
        <v>4</v>
      </c>
      <c r="E450">
        <v>3</v>
      </c>
      <c r="F450">
        <v>21</v>
      </c>
      <c r="G450">
        <v>24</v>
      </c>
      <c r="H450" t="s">
        <v>506</v>
      </c>
      <c r="I450" t="s">
        <v>507</v>
      </c>
      <c r="J450" t="s">
        <v>456</v>
      </c>
      <c r="K450" t="s">
        <v>508</v>
      </c>
      <c r="L450">
        <v>2025</v>
      </c>
      <c r="M450" t="s">
        <v>24</v>
      </c>
      <c r="N450">
        <v>1165.75</v>
      </c>
      <c r="O450">
        <v>14</v>
      </c>
      <c r="P450">
        <v>19.587910435923099</v>
      </c>
      <c r="Q450">
        <v>5.0892429417971146</v>
      </c>
      <c r="R450" s="3">
        <v>54.780102101209962</v>
      </c>
      <c r="S450">
        <v>21.432952960912726</v>
      </c>
      <c r="T450" s="3">
        <f t="shared" si="19"/>
        <v>21.432952960912726</v>
      </c>
      <c r="U450">
        <f t="shared" si="18"/>
        <v>1.8450425249896263</v>
      </c>
    </row>
    <row r="451" spans="1:21" hidden="1" x14ac:dyDescent="0.25">
      <c r="A451" t="s">
        <v>33</v>
      </c>
      <c r="B451">
        <v>48</v>
      </c>
      <c r="C451">
        <v>5</v>
      </c>
      <c r="D451">
        <v>1</v>
      </c>
      <c r="E451">
        <v>1</v>
      </c>
      <c r="F451">
        <v>1</v>
      </c>
      <c r="G451">
        <v>26</v>
      </c>
      <c r="H451" t="s">
        <v>464</v>
      </c>
      <c r="I451" t="s">
        <v>465</v>
      </c>
      <c r="J451" t="s">
        <v>456</v>
      </c>
      <c r="K451" t="s">
        <v>466</v>
      </c>
      <c r="L451">
        <v>2025</v>
      </c>
      <c r="M451" t="s">
        <v>24</v>
      </c>
      <c r="N451">
        <v>843.7</v>
      </c>
      <c r="O451">
        <v>12</v>
      </c>
      <c r="P451">
        <v>14.506243241563901</v>
      </c>
      <c r="Q451">
        <v>5.1027241447410931</v>
      </c>
      <c r="R451" s="3">
        <v>54.925212421578649</v>
      </c>
      <c r="S451">
        <v>15.830693802792412</v>
      </c>
      <c r="T451" s="3">
        <f t="shared" si="19"/>
        <v>15.830693802792412</v>
      </c>
      <c r="U451">
        <f t="shared" si="18"/>
        <v>1.3244505612285113</v>
      </c>
    </row>
    <row r="452" spans="1:21" hidden="1" x14ac:dyDescent="0.25">
      <c r="A452" t="s">
        <v>201</v>
      </c>
      <c r="B452">
        <v>57</v>
      </c>
      <c r="C452">
        <v>5</v>
      </c>
      <c r="D452">
        <v>3</v>
      </c>
      <c r="E452">
        <v>3</v>
      </c>
      <c r="F452">
        <v>15</v>
      </c>
      <c r="G452">
        <v>25</v>
      </c>
      <c r="H452" t="s">
        <v>464</v>
      </c>
      <c r="I452" t="s">
        <v>465</v>
      </c>
      <c r="J452" t="s">
        <v>456</v>
      </c>
      <c r="K452" t="s">
        <v>466</v>
      </c>
      <c r="L452">
        <v>2025</v>
      </c>
      <c r="M452" t="s">
        <v>24</v>
      </c>
      <c r="N452">
        <v>1006.99</v>
      </c>
      <c r="O452">
        <v>14.2</v>
      </c>
      <c r="P452">
        <v>16.8809420822293</v>
      </c>
      <c r="Q452">
        <v>5.118223369624598</v>
      </c>
      <c r="R452" s="3">
        <v>55.09204452830221</v>
      </c>
      <c r="S452">
        <v>18.366420725028942</v>
      </c>
      <c r="T452" s="3">
        <f t="shared" si="19"/>
        <v>18.366420725028942</v>
      </c>
      <c r="U452">
        <f t="shared" si="18"/>
        <v>1.4854786427996416</v>
      </c>
    </row>
    <row r="453" spans="1:21" hidden="1" x14ac:dyDescent="0.25">
      <c r="A453" t="s">
        <v>212</v>
      </c>
      <c r="B453">
        <v>50</v>
      </c>
      <c r="C453">
        <v>23</v>
      </c>
      <c r="D453">
        <v>3</v>
      </c>
      <c r="E453">
        <v>5</v>
      </c>
      <c r="F453">
        <v>17</v>
      </c>
      <c r="G453">
        <v>26</v>
      </c>
      <c r="H453" t="s">
        <v>458</v>
      </c>
      <c r="I453" t="s">
        <v>459</v>
      </c>
      <c r="J453" t="s">
        <v>456</v>
      </c>
      <c r="K453" t="s">
        <v>460</v>
      </c>
      <c r="L453">
        <v>2025</v>
      </c>
      <c r="M453" t="s">
        <v>24</v>
      </c>
      <c r="N453">
        <v>1124.93</v>
      </c>
      <c r="O453">
        <v>15.1</v>
      </c>
      <c r="P453">
        <v>18.6602485131279</v>
      </c>
      <c r="Q453">
        <v>5.1537878123297967</v>
      </c>
      <c r="R453" s="3">
        <v>55.474856633136703</v>
      </c>
      <c r="S453">
        <v>20.162202550132928</v>
      </c>
      <c r="T453" s="3">
        <f t="shared" si="19"/>
        <v>20.162202550132928</v>
      </c>
      <c r="U453">
        <f t="shared" si="18"/>
        <v>1.5019540370050279</v>
      </c>
    </row>
    <row r="454" spans="1:21" hidden="1" x14ac:dyDescent="0.25">
      <c r="A454" t="s">
        <v>235</v>
      </c>
      <c r="B454">
        <v>56</v>
      </c>
      <c r="C454">
        <v>14</v>
      </c>
      <c r="D454">
        <v>4</v>
      </c>
      <c r="E454">
        <v>3</v>
      </c>
      <c r="F454">
        <v>21</v>
      </c>
      <c r="G454">
        <v>23</v>
      </c>
      <c r="H454" t="s">
        <v>504</v>
      </c>
      <c r="I454" t="s">
        <v>505</v>
      </c>
      <c r="J454" t="s">
        <v>456</v>
      </c>
      <c r="K454" t="s">
        <v>483</v>
      </c>
      <c r="L454">
        <v>2025</v>
      </c>
      <c r="M454" t="s">
        <v>24</v>
      </c>
      <c r="N454">
        <v>725.76</v>
      </c>
      <c r="O454">
        <v>11.7</v>
      </c>
      <c r="P454">
        <v>12.520969750238001</v>
      </c>
      <c r="Q454">
        <v>5.1566720314351988</v>
      </c>
      <c r="R454" s="3">
        <v>55.505902079165331</v>
      </c>
      <c r="S454">
        <v>13.521209433887901</v>
      </c>
      <c r="T454" s="3">
        <f t="shared" si="19"/>
        <v>13.521209433887901</v>
      </c>
      <c r="U454">
        <f t="shared" si="18"/>
        <v>1.0002396836498999</v>
      </c>
    </row>
    <row r="455" spans="1:21" hidden="1" x14ac:dyDescent="0.25">
      <c r="A455" t="s">
        <v>180</v>
      </c>
      <c r="B455">
        <v>55</v>
      </c>
      <c r="C455">
        <v>22</v>
      </c>
      <c r="D455">
        <v>2</v>
      </c>
      <c r="E455">
        <v>6</v>
      </c>
      <c r="F455">
        <v>12</v>
      </c>
      <c r="G455">
        <v>23</v>
      </c>
      <c r="H455" t="s">
        <v>472</v>
      </c>
      <c r="I455" t="s">
        <v>473</v>
      </c>
      <c r="J455" t="s">
        <v>456</v>
      </c>
      <c r="K455" t="s">
        <v>474</v>
      </c>
      <c r="L455">
        <v>2025</v>
      </c>
      <c r="M455" t="s">
        <v>24</v>
      </c>
      <c r="N455">
        <v>1388.02</v>
      </c>
      <c r="O455">
        <v>14.7</v>
      </c>
      <c r="P455">
        <v>23.132841878528399</v>
      </c>
      <c r="Q455">
        <v>5.1585389971924478</v>
      </c>
      <c r="R455" s="3">
        <v>55.525997911879777</v>
      </c>
      <c r="S455">
        <v>24.971771680709125</v>
      </c>
      <c r="T455" s="3">
        <f t="shared" si="19"/>
        <v>24.971771680709125</v>
      </c>
      <c r="U455">
        <f t="shared" si="18"/>
        <v>1.8389298021807257</v>
      </c>
    </row>
    <row r="456" spans="1:21" hidden="1" x14ac:dyDescent="0.25">
      <c r="A456" t="s">
        <v>215</v>
      </c>
      <c r="B456">
        <v>40</v>
      </c>
      <c r="C456">
        <v>1</v>
      </c>
      <c r="D456">
        <v>3</v>
      </c>
      <c r="E456">
        <v>6</v>
      </c>
      <c r="F456">
        <v>18</v>
      </c>
      <c r="G456">
        <v>24</v>
      </c>
      <c r="H456" t="s">
        <v>528</v>
      </c>
      <c r="I456" t="s">
        <v>529</v>
      </c>
      <c r="J456" t="s">
        <v>456</v>
      </c>
      <c r="K456" t="s">
        <v>530</v>
      </c>
      <c r="L456">
        <v>2025</v>
      </c>
      <c r="M456" t="s">
        <v>24</v>
      </c>
      <c r="N456">
        <v>1274.6199999999999</v>
      </c>
      <c r="O456">
        <v>15.9</v>
      </c>
      <c r="P456">
        <v>20.9440641150894</v>
      </c>
      <c r="Q456">
        <v>5.1686725634352761</v>
      </c>
      <c r="R456" s="3">
        <v>55.635074605560973</v>
      </c>
      <c r="S456">
        <v>22.564671872174994</v>
      </c>
      <c r="T456" s="3">
        <f t="shared" si="19"/>
        <v>22.564671872174994</v>
      </c>
      <c r="U456">
        <f t="shared" si="18"/>
        <v>1.6206077570855939</v>
      </c>
    </row>
    <row r="457" spans="1:21" hidden="1" x14ac:dyDescent="0.25">
      <c r="A457" t="s">
        <v>170</v>
      </c>
      <c r="B457">
        <v>56</v>
      </c>
      <c r="C457">
        <v>24</v>
      </c>
      <c r="D457">
        <v>2</v>
      </c>
      <c r="E457">
        <v>4</v>
      </c>
      <c r="F457">
        <v>10</v>
      </c>
      <c r="G457">
        <v>23</v>
      </c>
      <c r="H457" t="s">
        <v>499</v>
      </c>
      <c r="I457" t="s">
        <v>500</v>
      </c>
      <c r="J457" t="s">
        <v>456</v>
      </c>
      <c r="K457" t="s">
        <v>501</v>
      </c>
      <c r="L457">
        <v>2025</v>
      </c>
      <c r="M457" t="s">
        <v>24</v>
      </c>
      <c r="N457">
        <v>1682.86</v>
      </c>
      <c r="O457">
        <v>14.6</v>
      </c>
      <c r="P457">
        <v>28.079546710215201</v>
      </c>
      <c r="Q457">
        <v>5.1864084209656296</v>
      </c>
      <c r="R457" s="3">
        <v>55.825981602431938</v>
      </c>
      <c r="S457">
        <v>30.148830016040019</v>
      </c>
      <c r="T457" s="3">
        <f t="shared" si="19"/>
        <v>30.148830016040019</v>
      </c>
      <c r="U457">
        <f t="shared" si="18"/>
        <v>2.0692833058248183</v>
      </c>
    </row>
    <row r="458" spans="1:21" hidden="1" x14ac:dyDescent="0.25">
      <c r="A458" t="s">
        <v>156</v>
      </c>
      <c r="B458">
        <v>40</v>
      </c>
      <c r="C458">
        <v>19</v>
      </c>
      <c r="D458">
        <v>2</v>
      </c>
      <c r="E458">
        <v>1</v>
      </c>
      <c r="F458">
        <v>7</v>
      </c>
      <c r="G458">
        <v>26</v>
      </c>
      <c r="H458" t="s">
        <v>506</v>
      </c>
      <c r="I458" t="s">
        <v>507</v>
      </c>
      <c r="J458" t="s">
        <v>456</v>
      </c>
      <c r="K458" t="s">
        <v>508</v>
      </c>
      <c r="L458">
        <v>2025</v>
      </c>
      <c r="M458" t="s">
        <v>24</v>
      </c>
      <c r="N458">
        <v>1451.52</v>
      </c>
      <c r="O458">
        <v>13.6</v>
      </c>
      <c r="P458">
        <v>24.503098220171399</v>
      </c>
      <c r="Q458">
        <v>5.1894517692965021</v>
      </c>
      <c r="R458" s="3">
        <v>55.858739899530619</v>
      </c>
      <c r="S458">
        <v>26.293391328890589</v>
      </c>
      <c r="T458" s="3">
        <f t="shared" si="19"/>
        <v>26.293391328890589</v>
      </c>
      <c r="U458">
        <f t="shared" si="18"/>
        <v>1.7902931087191902</v>
      </c>
    </row>
    <row r="459" spans="1:21" hidden="1" x14ac:dyDescent="0.25">
      <c r="A459" t="s">
        <v>174</v>
      </c>
      <c r="B459">
        <v>42</v>
      </c>
      <c r="C459">
        <v>21</v>
      </c>
      <c r="D459">
        <v>2</v>
      </c>
      <c r="E459">
        <v>4</v>
      </c>
      <c r="F459">
        <v>10</v>
      </c>
      <c r="G459">
        <v>27</v>
      </c>
      <c r="H459" t="s">
        <v>520</v>
      </c>
      <c r="I459" t="s">
        <v>507</v>
      </c>
      <c r="J459" t="s">
        <v>456</v>
      </c>
      <c r="K459" t="s">
        <v>521</v>
      </c>
      <c r="L459">
        <v>2025</v>
      </c>
      <c r="M459" t="s">
        <v>24</v>
      </c>
      <c r="N459">
        <v>1551.31</v>
      </c>
      <c r="O459">
        <v>13.9</v>
      </c>
      <c r="P459">
        <v>26.096723112000898</v>
      </c>
      <c r="Q459">
        <v>5.1894992464012661</v>
      </c>
      <c r="R459" s="3">
        <v>55.859250938338583</v>
      </c>
      <c r="S459">
        <v>28.003196553066019</v>
      </c>
      <c r="T459" s="3">
        <f t="shared" si="19"/>
        <v>28.003196553066019</v>
      </c>
      <c r="U459">
        <f t="shared" si="18"/>
        <v>1.9064734410651205</v>
      </c>
    </row>
    <row r="460" spans="1:21" hidden="1" x14ac:dyDescent="0.25">
      <c r="A460" t="s">
        <v>68</v>
      </c>
      <c r="B460">
        <v>52</v>
      </c>
      <c r="C460">
        <v>3</v>
      </c>
      <c r="D460">
        <v>1</v>
      </c>
      <c r="E460">
        <v>3</v>
      </c>
      <c r="F460">
        <v>3</v>
      </c>
      <c r="G460">
        <v>26</v>
      </c>
      <c r="H460" t="s">
        <v>491</v>
      </c>
      <c r="I460" t="s">
        <v>492</v>
      </c>
      <c r="J460" t="s">
        <v>456</v>
      </c>
      <c r="K460" t="s">
        <v>493</v>
      </c>
      <c r="L460">
        <v>2025</v>
      </c>
      <c r="M460" t="s">
        <v>24</v>
      </c>
      <c r="N460">
        <v>1564.92</v>
      </c>
      <c r="O460">
        <v>13.8</v>
      </c>
      <c r="P460">
        <v>26.3562513733246</v>
      </c>
      <c r="Q460">
        <v>5.1964447775705649</v>
      </c>
      <c r="R460" s="3">
        <v>55.9340119412918</v>
      </c>
      <c r="S460">
        <v>28.243883327647239</v>
      </c>
      <c r="T460" s="3">
        <f t="shared" si="19"/>
        <v>28.243883327647239</v>
      </c>
      <c r="U460">
        <f t="shared" si="18"/>
        <v>1.8876319543226394</v>
      </c>
    </row>
    <row r="461" spans="1:21" hidden="1" x14ac:dyDescent="0.25">
      <c r="A461" t="s">
        <v>210</v>
      </c>
      <c r="B461">
        <v>68</v>
      </c>
      <c r="C461">
        <v>28</v>
      </c>
      <c r="D461">
        <v>3</v>
      </c>
      <c r="E461">
        <v>5</v>
      </c>
      <c r="F461">
        <v>17</v>
      </c>
      <c r="G461">
        <v>24</v>
      </c>
      <c r="H461" t="s">
        <v>481</v>
      </c>
      <c r="I461" t="s">
        <v>482</v>
      </c>
      <c r="J461" t="s">
        <v>456</v>
      </c>
      <c r="K461" t="s">
        <v>483</v>
      </c>
      <c r="L461">
        <v>2025</v>
      </c>
      <c r="M461" t="s">
        <v>24</v>
      </c>
      <c r="N461">
        <v>725.76</v>
      </c>
      <c r="O461">
        <v>13.5</v>
      </c>
      <c r="P461">
        <v>12.2657291437779</v>
      </c>
      <c r="Q461">
        <v>5.2536634012300389</v>
      </c>
      <c r="R461" s="3">
        <v>56.549907484500011</v>
      </c>
      <c r="S461">
        <v>13.001043460231385</v>
      </c>
      <c r="T461" s="3">
        <f t="shared" si="19"/>
        <v>13.001043460231385</v>
      </c>
      <c r="U461">
        <f t="shared" si="18"/>
        <v>0.73531431645348455</v>
      </c>
    </row>
    <row r="462" spans="1:21" hidden="1" x14ac:dyDescent="0.25">
      <c r="A462" t="s">
        <v>64</v>
      </c>
      <c r="B462">
        <v>46</v>
      </c>
      <c r="C462">
        <v>26</v>
      </c>
      <c r="D462">
        <v>1</v>
      </c>
      <c r="E462">
        <v>3</v>
      </c>
      <c r="F462">
        <v>3</v>
      </c>
      <c r="G462">
        <v>25</v>
      </c>
      <c r="H462" t="s">
        <v>489</v>
      </c>
      <c r="I462" t="s">
        <v>490</v>
      </c>
      <c r="J462" t="s">
        <v>456</v>
      </c>
      <c r="K462" t="s">
        <v>480</v>
      </c>
      <c r="L462">
        <v>2025</v>
      </c>
      <c r="M462" t="s">
        <v>24</v>
      </c>
      <c r="N462">
        <v>1401.62</v>
      </c>
      <c r="O462">
        <v>13.7</v>
      </c>
      <c r="P462">
        <v>23.633351582967698</v>
      </c>
      <c r="Q462">
        <v>5.2693675300080747</v>
      </c>
      <c r="R462" s="3">
        <v>56.718945156253923</v>
      </c>
      <c r="S462">
        <v>24.975483764385327</v>
      </c>
      <c r="T462" s="3">
        <f t="shared" si="19"/>
        <v>24.975483764385327</v>
      </c>
      <c r="U462">
        <f t="shared" ref="U462:U481" si="20">T462-P462</f>
        <v>1.3421321814176288</v>
      </c>
    </row>
    <row r="463" spans="1:21" hidden="1" x14ac:dyDescent="0.25">
      <c r="A463" t="s">
        <v>195</v>
      </c>
      <c r="B463">
        <v>46</v>
      </c>
      <c r="C463">
        <v>2</v>
      </c>
      <c r="D463">
        <v>3</v>
      </c>
      <c r="E463">
        <v>2</v>
      </c>
      <c r="F463">
        <v>14</v>
      </c>
      <c r="G463">
        <v>24</v>
      </c>
      <c r="H463" t="s">
        <v>496</v>
      </c>
      <c r="I463" t="s">
        <v>497</v>
      </c>
      <c r="J463" t="s">
        <v>456</v>
      </c>
      <c r="K463" t="s">
        <v>498</v>
      </c>
      <c r="L463">
        <v>2025</v>
      </c>
      <c r="M463" t="s">
        <v>24</v>
      </c>
      <c r="N463">
        <v>1628.42</v>
      </c>
      <c r="O463">
        <v>13.9</v>
      </c>
      <c r="P463">
        <v>27.393896674452201</v>
      </c>
      <c r="Q463">
        <v>5.2703813588817274</v>
      </c>
      <c r="R463" s="3">
        <v>56.729857908867032</v>
      </c>
      <c r="S463">
        <v>28.944020436370931</v>
      </c>
      <c r="T463" s="3">
        <f t="shared" si="19"/>
        <v>28.944020436370931</v>
      </c>
      <c r="U463">
        <f t="shared" si="20"/>
        <v>1.55012376191873</v>
      </c>
    </row>
    <row r="464" spans="1:21" hidden="1" x14ac:dyDescent="0.25">
      <c r="A464" t="s">
        <v>164</v>
      </c>
      <c r="B464">
        <v>60</v>
      </c>
      <c r="C464">
        <v>29</v>
      </c>
      <c r="D464">
        <v>2</v>
      </c>
      <c r="E464">
        <v>3</v>
      </c>
      <c r="F464">
        <v>9</v>
      </c>
      <c r="G464">
        <v>24</v>
      </c>
      <c r="H464" t="s">
        <v>487</v>
      </c>
      <c r="I464" t="s">
        <v>488</v>
      </c>
      <c r="J464" t="s">
        <v>456</v>
      </c>
      <c r="K464" t="s">
        <v>480</v>
      </c>
      <c r="L464">
        <v>2025</v>
      </c>
      <c r="M464" t="s">
        <v>24</v>
      </c>
      <c r="N464">
        <v>1446.98</v>
      </c>
      <c r="O464">
        <v>15.1</v>
      </c>
      <c r="P464">
        <v>24.002388053946301</v>
      </c>
      <c r="Q464">
        <v>5.2886288960835746</v>
      </c>
      <c r="R464" s="3">
        <v>56.926272574553977</v>
      </c>
      <c r="S464">
        <v>25.273095793674752</v>
      </c>
      <c r="T464" s="3">
        <f t="shared" si="19"/>
        <v>25.273095793674752</v>
      </c>
      <c r="U464">
        <f t="shared" si="20"/>
        <v>1.2707077397284507</v>
      </c>
    </row>
    <row r="465" spans="1:21" hidden="1" x14ac:dyDescent="0.25">
      <c r="A465" t="s">
        <v>154</v>
      </c>
      <c r="B465">
        <v>49</v>
      </c>
      <c r="C465">
        <v>6</v>
      </c>
      <c r="D465">
        <v>2</v>
      </c>
      <c r="E465">
        <v>1</v>
      </c>
      <c r="F465">
        <v>7</v>
      </c>
      <c r="G465">
        <v>24</v>
      </c>
      <c r="H465" t="s">
        <v>525</v>
      </c>
      <c r="I465" t="s">
        <v>526</v>
      </c>
      <c r="J465" t="s">
        <v>456</v>
      </c>
      <c r="K465" t="s">
        <v>527</v>
      </c>
      <c r="L465">
        <v>2025</v>
      </c>
      <c r="M465" t="s">
        <v>24</v>
      </c>
      <c r="N465">
        <v>1483.27</v>
      </c>
      <c r="O465">
        <v>15.9</v>
      </c>
      <c r="P465">
        <v>24.372520421763902</v>
      </c>
      <c r="Q465">
        <v>5.2925269452826971</v>
      </c>
      <c r="R465" s="3">
        <v>56.968230786328419</v>
      </c>
      <c r="S465">
        <v>25.64392212845619</v>
      </c>
      <c r="T465" s="3">
        <f t="shared" si="19"/>
        <v>25.64392212845619</v>
      </c>
      <c r="U465">
        <f t="shared" si="20"/>
        <v>1.2714017066922878</v>
      </c>
    </row>
    <row r="466" spans="1:21" hidden="1" x14ac:dyDescent="0.25">
      <c r="A466" t="s">
        <v>204</v>
      </c>
      <c r="B466">
        <v>61</v>
      </c>
      <c r="C466">
        <v>13</v>
      </c>
      <c r="D466">
        <v>3</v>
      </c>
      <c r="E466">
        <v>4</v>
      </c>
      <c r="F466">
        <v>16</v>
      </c>
      <c r="G466">
        <v>23</v>
      </c>
      <c r="H466" t="s">
        <v>518</v>
      </c>
      <c r="I466" t="s">
        <v>485</v>
      </c>
      <c r="J466" t="s">
        <v>456</v>
      </c>
      <c r="K466" t="s">
        <v>519</v>
      </c>
      <c r="L466">
        <v>2025</v>
      </c>
      <c r="M466" t="s">
        <v>24</v>
      </c>
      <c r="N466">
        <v>1374.41</v>
      </c>
      <c r="O466">
        <v>15.2</v>
      </c>
      <c r="P466">
        <v>22.771749243113302</v>
      </c>
      <c r="Q466">
        <v>5.2947178771076633</v>
      </c>
      <c r="R466" s="3">
        <v>56.991813757399171</v>
      </c>
      <c r="S466">
        <v>23.949731718355824</v>
      </c>
      <c r="T466" s="3">
        <f t="shared" si="19"/>
        <v>23.949731718355824</v>
      </c>
      <c r="U466">
        <f t="shared" si="20"/>
        <v>1.1779824752425228</v>
      </c>
    </row>
    <row r="467" spans="1:21" hidden="1" x14ac:dyDescent="0.25">
      <c r="A467" t="s">
        <v>72</v>
      </c>
      <c r="B467">
        <v>57</v>
      </c>
      <c r="C467">
        <v>27</v>
      </c>
      <c r="D467">
        <v>1</v>
      </c>
      <c r="E467">
        <v>3</v>
      </c>
      <c r="F467">
        <v>3</v>
      </c>
      <c r="G467">
        <v>27</v>
      </c>
      <c r="H467" t="s">
        <v>494</v>
      </c>
      <c r="I467" t="s">
        <v>495</v>
      </c>
      <c r="J467" t="s">
        <v>456</v>
      </c>
      <c r="K467" t="s">
        <v>483</v>
      </c>
      <c r="L467">
        <v>2025</v>
      </c>
      <c r="M467" t="s">
        <v>24</v>
      </c>
      <c r="N467">
        <v>1029.67</v>
      </c>
      <c r="O467">
        <v>12.9</v>
      </c>
      <c r="P467">
        <v>17.5226767240204</v>
      </c>
      <c r="Q467">
        <v>5.3314933352354954</v>
      </c>
      <c r="R467" s="3">
        <v>57.387661111141327</v>
      </c>
      <c r="S467">
        <v>18.302004690584553</v>
      </c>
      <c r="T467" s="3">
        <f t="shared" si="19"/>
        <v>18.302004690584553</v>
      </c>
      <c r="U467">
        <f t="shared" si="20"/>
        <v>0.77932796656415348</v>
      </c>
    </row>
    <row r="468" spans="1:21" hidden="1" x14ac:dyDescent="0.25">
      <c r="A468" t="s">
        <v>60</v>
      </c>
      <c r="B468">
        <v>47</v>
      </c>
      <c r="C468">
        <v>29</v>
      </c>
      <c r="D468">
        <v>1</v>
      </c>
      <c r="E468">
        <v>3</v>
      </c>
      <c r="F468">
        <v>3</v>
      </c>
      <c r="G468">
        <v>24</v>
      </c>
      <c r="H468" t="s">
        <v>487</v>
      </c>
      <c r="I468" t="s">
        <v>488</v>
      </c>
      <c r="J468" t="s">
        <v>456</v>
      </c>
      <c r="K468" t="s">
        <v>480</v>
      </c>
      <c r="L468">
        <v>2025</v>
      </c>
      <c r="M468" t="s">
        <v>24</v>
      </c>
      <c r="N468">
        <v>1211.1099999999999</v>
      </c>
      <c r="O468">
        <v>14.8</v>
      </c>
      <c r="P468">
        <v>20.160784109700099</v>
      </c>
      <c r="Q468">
        <v>5.3471931538715074</v>
      </c>
      <c r="R468" s="3">
        <v>57.556652388957509</v>
      </c>
      <c r="S468">
        <v>20.99561648181032</v>
      </c>
      <c r="T468" s="3">
        <f t="shared" si="19"/>
        <v>20.99561648181032</v>
      </c>
      <c r="U468">
        <f t="shared" si="20"/>
        <v>0.83483237211022043</v>
      </c>
    </row>
    <row r="469" spans="1:21" hidden="1" x14ac:dyDescent="0.25">
      <c r="A469" t="s">
        <v>172</v>
      </c>
      <c r="B469">
        <v>81</v>
      </c>
      <c r="C469">
        <v>3</v>
      </c>
      <c r="D469">
        <v>2</v>
      </c>
      <c r="E469">
        <v>4</v>
      </c>
      <c r="F469">
        <v>10</v>
      </c>
      <c r="G469">
        <v>25</v>
      </c>
      <c r="H469" t="s">
        <v>491</v>
      </c>
      <c r="I469" t="s">
        <v>492</v>
      </c>
      <c r="J469" t="s">
        <v>456</v>
      </c>
      <c r="K469" t="s">
        <v>493</v>
      </c>
      <c r="L469">
        <v>2025</v>
      </c>
      <c r="M469" t="s">
        <v>24</v>
      </c>
      <c r="N469">
        <v>1678.32</v>
      </c>
      <c r="O469">
        <v>13.2</v>
      </c>
      <c r="P469">
        <v>28.462872628726299</v>
      </c>
      <c r="Q469">
        <v>5.3511897157633914</v>
      </c>
      <c r="R469" s="3">
        <v>57.599670981505568</v>
      </c>
      <c r="S469">
        <v>29.619346018723729</v>
      </c>
      <c r="T469" s="3">
        <f t="shared" si="19"/>
        <v>29.619346018723729</v>
      </c>
      <c r="U469">
        <f t="shared" si="20"/>
        <v>1.15647338999743</v>
      </c>
    </row>
    <row r="470" spans="1:21" hidden="1" x14ac:dyDescent="0.25">
      <c r="A470" t="s">
        <v>207</v>
      </c>
      <c r="B470">
        <v>58</v>
      </c>
      <c r="C470">
        <v>14</v>
      </c>
      <c r="D470">
        <v>3</v>
      </c>
      <c r="E470">
        <v>4</v>
      </c>
      <c r="F470">
        <v>16</v>
      </c>
      <c r="G470">
        <v>26</v>
      </c>
      <c r="H470" t="s">
        <v>504</v>
      </c>
      <c r="I470" t="s">
        <v>505</v>
      </c>
      <c r="J470" t="s">
        <v>456</v>
      </c>
      <c r="K470" t="s">
        <v>483</v>
      </c>
      <c r="L470">
        <v>2025</v>
      </c>
      <c r="M470" t="s">
        <v>24</v>
      </c>
      <c r="N470">
        <v>712.15</v>
      </c>
      <c r="O470">
        <v>12.1</v>
      </c>
      <c r="P470">
        <v>12.230510587048499</v>
      </c>
      <c r="Q470">
        <v>5.4323798189875054</v>
      </c>
      <c r="R470" s="3">
        <v>58.4735931335996</v>
      </c>
      <c r="S470">
        <v>12.537228606983668</v>
      </c>
      <c r="T470" s="3">
        <f t="shared" si="19"/>
        <v>12.537228606983668</v>
      </c>
      <c r="U470">
        <f t="shared" si="20"/>
        <v>0.30671801993516823</v>
      </c>
    </row>
    <row r="471" spans="1:21" hidden="1" x14ac:dyDescent="0.25">
      <c r="A471" t="s">
        <v>176</v>
      </c>
      <c r="B471">
        <v>55</v>
      </c>
      <c r="C471">
        <v>5</v>
      </c>
      <c r="D471">
        <v>2</v>
      </c>
      <c r="E471">
        <v>5</v>
      </c>
      <c r="F471">
        <v>11</v>
      </c>
      <c r="G471">
        <v>24</v>
      </c>
      <c r="H471" t="s">
        <v>464</v>
      </c>
      <c r="I471" t="s">
        <v>465</v>
      </c>
      <c r="J471" t="s">
        <v>456</v>
      </c>
      <c r="K471" t="s">
        <v>466</v>
      </c>
      <c r="L471">
        <v>2025</v>
      </c>
      <c r="M471" t="s">
        <v>24</v>
      </c>
      <c r="N471">
        <v>1564.92</v>
      </c>
      <c r="O471">
        <v>14.5</v>
      </c>
      <c r="P471">
        <v>26.1422214897825</v>
      </c>
      <c r="Q471">
        <v>5.4509406125397248</v>
      </c>
      <c r="R471" s="3">
        <v>58.673379659316339</v>
      </c>
      <c r="S471">
        <v>26.706570598047247</v>
      </c>
      <c r="T471" s="3">
        <f t="shared" si="19"/>
        <v>26.706570598047247</v>
      </c>
      <c r="U471">
        <f t="shared" si="20"/>
        <v>0.56434910826474649</v>
      </c>
    </row>
    <row r="472" spans="1:21" hidden="1" x14ac:dyDescent="0.25">
      <c r="A472" t="s">
        <v>205</v>
      </c>
      <c r="B472">
        <v>61</v>
      </c>
      <c r="C472">
        <v>8</v>
      </c>
      <c r="D472">
        <v>3</v>
      </c>
      <c r="E472">
        <v>4</v>
      </c>
      <c r="F472">
        <v>16</v>
      </c>
      <c r="G472">
        <v>24</v>
      </c>
      <c r="H472" t="s">
        <v>522</v>
      </c>
      <c r="I472" t="s">
        <v>523</v>
      </c>
      <c r="J472" t="s">
        <v>456</v>
      </c>
      <c r="K472" t="s">
        <v>524</v>
      </c>
      <c r="L472">
        <v>2025</v>
      </c>
      <c r="M472" t="s">
        <v>24</v>
      </c>
      <c r="N472">
        <v>1419.77</v>
      </c>
      <c r="O472">
        <v>12.9</v>
      </c>
      <c r="P472">
        <v>24.161304818497701</v>
      </c>
      <c r="Q472">
        <v>5.454049627933947</v>
      </c>
      <c r="R472" s="3">
        <v>58.706844790118211</v>
      </c>
      <c r="S472">
        <v>24.66882040753999</v>
      </c>
      <c r="T472" s="3">
        <f t="shared" si="19"/>
        <v>24.66882040753999</v>
      </c>
      <c r="U472">
        <f t="shared" si="20"/>
        <v>0.50751558904228844</v>
      </c>
    </row>
    <row r="473" spans="1:21" hidden="1" x14ac:dyDescent="0.25">
      <c r="A473" t="s">
        <v>160</v>
      </c>
      <c r="B473">
        <v>72</v>
      </c>
      <c r="C473">
        <v>14</v>
      </c>
      <c r="D473">
        <v>2</v>
      </c>
      <c r="E473">
        <v>2</v>
      </c>
      <c r="F473">
        <v>8</v>
      </c>
      <c r="G473">
        <v>25</v>
      </c>
      <c r="H473" t="s">
        <v>504</v>
      </c>
      <c r="I473" t="s">
        <v>505</v>
      </c>
      <c r="J473" t="s">
        <v>456</v>
      </c>
      <c r="K473" t="s">
        <v>483</v>
      </c>
      <c r="L473">
        <v>2025</v>
      </c>
      <c r="M473" t="s">
        <v>24</v>
      </c>
      <c r="N473">
        <v>934.42</v>
      </c>
      <c r="O473">
        <v>11.6</v>
      </c>
      <c r="P473">
        <v>16.139074433834999</v>
      </c>
      <c r="Q473">
        <v>5.46273323013118</v>
      </c>
      <c r="R473" s="3">
        <v>58.800314215809003</v>
      </c>
      <c r="S473">
        <v>16.451886940835173</v>
      </c>
      <c r="T473" s="3">
        <f t="shared" si="19"/>
        <v>16.451886940835173</v>
      </c>
      <c r="U473">
        <f t="shared" si="20"/>
        <v>0.31281250700017438</v>
      </c>
    </row>
    <row r="474" spans="1:21" hidden="1" x14ac:dyDescent="0.25">
      <c r="A474" t="s">
        <v>19</v>
      </c>
      <c r="B474">
        <v>30</v>
      </c>
      <c r="C474">
        <v>13</v>
      </c>
      <c r="D474">
        <v>1</v>
      </c>
      <c r="E474">
        <v>1</v>
      </c>
      <c r="F474">
        <v>1</v>
      </c>
      <c r="G474">
        <v>28</v>
      </c>
      <c r="H474" t="s">
        <v>537</v>
      </c>
      <c r="I474" t="s">
        <v>538</v>
      </c>
      <c r="J474" t="s">
        <v>539</v>
      </c>
      <c r="K474" t="s">
        <v>540</v>
      </c>
      <c r="L474">
        <v>2025</v>
      </c>
      <c r="M474" t="s">
        <v>24</v>
      </c>
      <c r="N474">
        <v>1474.2</v>
      </c>
      <c r="O474">
        <v>12.86</v>
      </c>
      <c r="P474">
        <v>25.0991027612979</v>
      </c>
      <c r="Q474">
        <v>4.8674819999999999</v>
      </c>
      <c r="R474">
        <v>52.393089499799999</v>
      </c>
      <c r="S474">
        <v>28.71447807096656</v>
      </c>
      <c r="T474" s="3">
        <f>Q724</f>
        <v>0</v>
      </c>
      <c r="U474">
        <f t="shared" si="20"/>
        <v>-25.0991027612979</v>
      </c>
    </row>
    <row r="475" spans="1:21" hidden="1" x14ac:dyDescent="0.25">
      <c r="A475" t="s">
        <v>25</v>
      </c>
      <c r="B475">
        <v>30</v>
      </c>
      <c r="C475">
        <v>32</v>
      </c>
      <c r="D475">
        <v>1</v>
      </c>
      <c r="E475">
        <v>1</v>
      </c>
      <c r="F475">
        <v>1</v>
      </c>
      <c r="G475">
        <v>29</v>
      </c>
      <c r="H475" t="s">
        <v>504</v>
      </c>
      <c r="I475" t="s">
        <v>505</v>
      </c>
      <c r="J475" t="s">
        <v>539</v>
      </c>
      <c r="K475" t="s">
        <v>483</v>
      </c>
      <c r="L475">
        <v>2025</v>
      </c>
      <c r="M475" t="s">
        <v>24</v>
      </c>
      <c r="N475">
        <v>874.86</v>
      </c>
      <c r="O475">
        <v>11.49</v>
      </c>
      <c r="P475">
        <v>15.1291711291237</v>
      </c>
      <c r="Q475">
        <v>4.513401</v>
      </c>
      <c r="R475">
        <v>48.581797023899988</v>
      </c>
      <c r="S475">
        <v>18.6663024637304</v>
      </c>
      <c r="T475" s="3">
        <f t="shared" ref="T475:T481" si="21">IF(N475&lt;= 0, -9, N475/ 453.6 / (R475/ 43560) * ((100 - O475) / (100 - 18)) / 100)</f>
        <v>18.6663024637304</v>
      </c>
      <c r="U475">
        <f t="shared" si="20"/>
        <v>3.5371313346067002</v>
      </c>
    </row>
    <row r="476" spans="1:21" hidden="1" x14ac:dyDescent="0.25">
      <c r="A476" t="s">
        <v>29</v>
      </c>
      <c r="B476">
        <v>32</v>
      </c>
      <c r="C476">
        <v>2</v>
      </c>
      <c r="D476">
        <v>1</v>
      </c>
      <c r="E476">
        <v>1</v>
      </c>
      <c r="F476">
        <v>1</v>
      </c>
      <c r="G476">
        <v>30</v>
      </c>
      <c r="H476" t="s">
        <v>541</v>
      </c>
      <c r="I476" t="s">
        <v>542</v>
      </c>
      <c r="J476" t="s">
        <v>539</v>
      </c>
      <c r="K476" t="s">
        <v>543</v>
      </c>
      <c r="L476">
        <v>2025</v>
      </c>
      <c r="M476" t="s">
        <v>24</v>
      </c>
      <c r="N476">
        <v>725.76</v>
      </c>
      <c r="O476">
        <v>12.96</v>
      </c>
      <c r="P476">
        <v>12.342301325716001</v>
      </c>
      <c r="Q476">
        <v>4.908423</v>
      </c>
      <c r="R476">
        <v>52.833774329699999</v>
      </c>
      <c r="S476">
        <v>14.002360248708269</v>
      </c>
      <c r="T476" s="3">
        <f t="shared" si="21"/>
        <v>14.002360248708266</v>
      </c>
      <c r="U476">
        <f t="shared" si="20"/>
        <v>1.6600589229922651</v>
      </c>
    </row>
    <row r="477" spans="1:21" hidden="1" x14ac:dyDescent="0.25">
      <c r="A477" t="s">
        <v>33</v>
      </c>
      <c r="B477">
        <v>36</v>
      </c>
      <c r="C477">
        <v>10</v>
      </c>
      <c r="D477">
        <v>1</v>
      </c>
      <c r="E477">
        <v>1</v>
      </c>
      <c r="F477">
        <v>1</v>
      </c>
      <c r="G477">
        <v>31</v>
      </c>
      <c r="H477" t="s">
        <v>544</v>
      </c>
      <c r="I477" t="s">
        <v>545</v>
      </c>
      <c r="J477" t="s">
        <v>539</v>
      </c>
      <c r="K477" t="s">
        <v>546</v>
      </c>
      <c r="L477">
        <v>2025</v>
      </c>
      <c r="M477" t="s">
        <v>24</v>
      </c>
      <c r="N477">
        <v>948.02</v>
      </c>
      <c r="O477">
        <v>12.1</v>
      </c>
      <c r="P477">
        <v>16.2813573639454</v>
      </c>
      <c r="Q477">
        <v>4.6800499999999996</v>
      </c>
      <c r="R477">
        <v>50.375590194999987</v>
      </c>
      <c r="S477">
        <v>19.372568273984271</v>
      </c>
      <c r="T477" s="3">
        <f t="shared" si="21"/>
        <v>19.372568273984268</v>
      </c>
      <c r="U477">
        <f t="shared" si="20"/>
        <v>3.0912109100388676</v>
      </c>
    </row>
    <row r="478" spans="1:21" hidden="1" x14ac:dyDescent="0.25">
      <c r="A478" t="s">
        <v>153</v>
      </c>
      <c r="B478">
        <v>18</v>
      </c>
      <c r="C478">
        <v>18</v>
      </c>
      <c r="D478">
        <v>2</v>
      </c>
      <c r="E478">
        <v>1</v>
      </c>
      <c r="F478">
        <v>9</v>
      </c>
      <c r="G478">
        <v>28</v>
      </c>
      <c r="H478" t="s">
        <v>547</v>
      </c>
      <c r="I478" t="s">
        <v>548</v>
      </c>
      <c r="J478" t="s">
        <v>539</v>
      </c>
      <c r="K478" t="s">
        <v>549</v>
      </c>
      <c r="L478">
        <v>2025</v>
      </c>
      <c r="M478" t="s">
        <v>24</v>
      </c>
      <c r="N478">
        <v>1560.38</v>
      </c>
      <c r="O478">
        <v>11.8</v>
      </c>
      <c r="P478">
        <v>26.8895289598542</v>
      </c>
      <c r="Q478">
        <v>3.4600420000000001</v>
      </c>
      <c r="R478">
        <v>37.243546083799998</v>
      </c>
      <c r="S478">
        <v>43.276178971441517</v>
      </c>
      <c r="T478" s="3">
        <f t="shared" si="21"/>
        <v>43.276178971441524</v>
      </c>
      <c r="U478">
        <f t="shared" si="20"/>
        <v>16.386650011587324</v>
      </c>
    </row>
    <row r="479" spans="1:21" hidden="1" x14ac:dyDescent="0.25">
      <c r="A479" t="s">
        <v>154</v>
      </c>
      <c r="B479">
        <v>56</v>
      </c>
      <c r="C479">
        <v>20</v>
      </c>
      <c r="D479">
        <v>2</v>
      </c>
      <c r="E479">
        <v>1</v>
      </c>
      <c r="F479">
        <v>9</v>
      </c>
      <c r="G479">
        <v>29</v>
      </c>
      <c r="H479" t="s">
        <v>550</v>
      </c>
      <c r="I479" t="s">
        <v>551</v>
      </c>
      <c r="J479" t="s">
        <v>539</v>
      </c>
      <c r="K479" t="s">
        <v>552</v>
      </c>
      <c r="L479">
        <v>2025</v>
      </c>
      <c r="M479" t="s">
        <v>24</v>
      </c>
      <c r="N479">
        <v>1823.47</v>
      </c>
      <c r="O479">
        <v>12.4</v>
      </c>
      <c r="P479">
        <v>31.209510924009599</v>
      </c>
      <c r="Q479">
        <v>5.3054779999999999</v>
      </c>
      <c r="R479">
        <v>57.107634644199997</v>
      </c>
      <c r="S479">
        <v>32.757407944493217</v>
      </c>
      <c r="T479" s="3">
        <f t="shared" si="21"/>
        <v>32.757407944493224</v>
      </c>
      <c r="U479">
        <f t="shared" si="20"/>
        <v>1.5478970204836244</v>
      </c>
    </row>
    <row r="480" spans="1:21" hidden="1" x14ac:dyDescent="0.25">
      <c r="A480" t="s">
        <v>155</v>
      </c>
      <c r="B480">
        <v>11</v>
      </c>
      <c r="C480">
        <v>25</v>
      </c>
      <c r="D480">
        <v>2</v>
      </c>
      <c r="E480">
        <v>1</v>
      </c>
      <c r="F480">
        <v>9</v>
      </c>
      <c r="G480">
        <v>30</v>
      </c>
      <c r="H480" t="s">
        <v>553</v>
      </c>
      <c r="I480" t="s">
        <v>554</v>
      </c>
      <c r="J480" t="s">
        <v>539</v>
      </c>
      <c r="K480" t="s">
        <v>555</v>
      </c>
      <c r="L480">
        <v>2025</v>
      </c>
      <c r="M480" t="s">
        <v>24</v>
      </c>
      <c r="N480">
        <v>1905.12</v>
      </c>
      <c r="O480">
        <v>13.3</v>
      </c>
      <c r="P480">
        <v>32.271984179301199</v>
      </c>
      <c r="Q480">
        <v>1.614895</v>
      </c>
      <c r="R480">
        <v>37.382568290499997</v>
      </c>
      <c r="S480">
        <v>111.2829070698663</v>
      </c>
      <c r="T480" s="3">
        <f t="shared" si="21"/>
        <v>51.745581434513163</v>
      </c>
      <c r="U480">
        <f t="shared" si="20"/>
        <v>19.473597255211963</v>
      </c>
    </row>
    <row r="481" spans="1:21" hidden="1" x14ac:dyDescent="0.25">
      <c r="A481" t="s">
        <v>156</v>
      </c>
      <c r="B481">
        <v>4</v>
      </c>
      <c r="C481">
        <v>26</v>
      </c>
      <c r="D481">
        <v>2</v>
      </c>
      <c r="E481">
        <v>1</v>
      </c>
      <c r="F481">
        <v>9</v>
      </c>
      <c r="G481">
        <v>31</v>
      </c>
      <c r="H481" t="s">
        <v>556</v>
      </c>
      <c r="I481" t="s">
        <v>557</v>
      </c>
      <c r="J481" t="s">
        <v>539</v>
      </c>
      <c r="K481" t="s">
        <v>558</v>
      </c>
      <c r="L481">
        <v>2025</v>
      </c>
      <c r="M481" t="s">
        <v>24</v>
      </c>
      <c r="N481">
        <v>1696.46</v>
      </c>
      <c r="O481">
        <v>11.8</v>
      </c>
      <c r="P481">
        <v>29.2345520317065</v>
      </c>
      <c r="Q481">
        <v>0.91038699999999995</v>
      </c>
      <c r="R481">
        <v>39.7993146293</v>
      </c>
      <c r="S481">
        <v>178.82057215930641</v>
      </c>
      <c r="T481" s="3">
        <f t="shared" si="21"/>
        <v>44.028874997019209</v>
      </c>
      <c r="U481">
        <f t="shared" si="20"/>
        <v>14.794322965312709</v>
      </c>
    </row>
    <row r="482" spans="1:21" hidden="1" x14ac:dyDescent="0.25">
      <c r="A482" t="s">
        <v>37</v>
      </c>
      <c r="B482">
        <v>6</v>
      </c>
      <c r="C482">
        <v>10</v>
      </c>
      <c r="D482">
        <v>1</v>
      </c>
      <c r="E482">
        <v>2</v>
      </c>
      <c r="F482">
        <v>2</v>
      </c>
      <c r="G482">
        <v>33</v>
      </c>
      <c r="H482" t="s">
        <v>572</v>
      </c>
      <c r="I482" t="s">
        <v>573</v>
      </c>
      <c r="J482" t="s">
        <v>561</v>
      </c>
      <c r="K482" t="s">
        <v>574</v>
      </c>
      <c r="L482">
        <v>2025</v>
      </c>
      <c r="M482" t="s">
        <v>24</v>
      </c>
      <c r="N482">
        <v>1070.5</v>
      </c>
      <c r="O482">
        <v>16.2</v>
      </c>
      <c r="P482">
        <v>17.5272961372781</v>
      </c>
      <c r="Q482">
        <v>1.514257</v>
      </c>
      <c r="R482" s="3">
        <v>46.299310922300002</v>
      </c>
      <c r="S482">
        <v>22.69118286083247</v>
      </c>
      <c r="T482" s="3">
        <f t="shared" ref="T482:T545" si="22">IF(N482&lt;= 0, -9, N482/ 453.6 / (R482/ 43560) * ((100 - O482) / (100 - 18)) / 100)</f>
        <v>22.69118286083247</v>
      </c>
      <c r="U482">
        <f t="shared" ref="U482:U545" si="23">T482-P482</f>
        <v>5.16388672355437</v>
      </c>
    </row>
    <row r="483" spans="1:21" hidden="1" x14ac:dyDescent="0.25">
      <c r="A483" t="s">
        <v>41</v>
      </c>
      <c r="B483">
        <v>7</v>
      </c>
      <c r="C483">
        <v>14</v>
      </c>
      <c r="D483">
        <v>1</v>
      </c>
      <c r="E483">
        <v>2</v>
      </c>
      <c r="F483">
        <v>2</v>
      </c>
      <c r="G483">
        <v>34</v>
      </c>
      <c r="H483" t="s">
        <v>575</v>
      </c>
      <c r="I483" t="s">
        <v>576</v>
      </c>
      <c r="J483" t="s">
        <v>561</v>
      </c>
      <c r="K483" t="s">
        <v>577</v>
      </c>
      <c r="L483">
        <v>2025</v>
      </c>
      <c r="M483" t="s">
        <v>24</v>
      </c>
      <c r="N483">
        <v>1047.82</v>
      </c>
      <c r="O483">
        <v>15.5</v>
      </c>
      <c r="P483">
        <v>17.299264017534099</v>
      </c>
      <c r="Q483">
        <v>1.5666659999999999</v>
      </c>
      <c r="R483" s="3">
        <v>36.863436157400002</v>
      </c>
      <c r="S483">
        <v>28.128628074267102</v>
      </c>
      <c r="T483" s="3">
        <f t="shared" si="22"/>
        <v>28.128628074267102</v>
      </c>
      <c r="U483">
        <f t="shared" si="23"/>
        <v>10.829364056733002</v>
      </c>
    </row>
    <row r="484" spans="1:21" hidden="1" x14ac:dyDescent="0.25">
      <c r="A484" t="s">
        <v>282</v>
      </c>
      <c r="B484">
        <v>11</v>
      </c>
      <c r="C484">
        <v>5</v>
      </c>
      <c r="D484">
        <v>1</v>
      </c>
      <c r="E484">
        <v>3</v>
      </c>
      <c r="F484">
        <v>3</v>
      </c>
      <c r="G484">
        <v>33</v>
      </c>
      <c r="H484" t="s">
        <v>581</v>
      </c>
      <c r="I484" t="s">
        <v>582</v>
      </c>
      <c r="J484" t="s">
        <v>561</v>
      </c>
      <c r="K484" t="s">
        <v>583</v>
      </c>
      <c r="L484">
        <v>2025</v>
      </c>
      <c r="M484" t="s">
        <v>24</v>
      </c>
      <c r="N484">
        <v>1578.53</v>
      </c>
      <c r="O484">
        <v>16.100000000000001</v>
      </c>
      <c r="P484">
        <v>25.876112767497101</v>
      </c>
      <c r="Q484">
        <v>2.3775759999999999</v>
      </c>
      <c r="R484" s="3">
        <v>55.5919903064</v>
      </c>
      <c r="S484">
        <v>27.899958082724353</v>
      </c>
      <c r="T484" s="3">
        <f t="shared" si="22"/>
        <v>27.899958082724353</v>
      </c>
      <c r="U484">
        <f t="shared" si="23"/>
        <v>2.023845315227252</v>
      </c>
    </row>
    <row r="485" spans="1:21" hidden="1" x14ac:dyDescent="0.25">
      <c r="A485" t="s">
        <v>158</v>
      </c>
      <c r="B485">
        <v>13</v>
      </c>
      <c r="C485">
        <v>3</v>
      </c>
      <c r="D485">
        <v>2</v>
      </c>
      <c r="E485">
        <v>2</v>
      </c>
      <c r="F485">
        <v>8</v>
      </c>
      <c r="G485">
        <v>34</v>
      </c>
      <c r="H485" t="s">
        <v>596</v>
      </c>
      <c r="I485" t="s">
        <v>597</v>
      </c>
      <c r="J485" t="s">
        <v>561</v>
      </c>
      <c r="K485" t="s">
        <v>598</v>
      </c>
      <c r="L485">
        <v>2025</v>
      </c>
      <c r="M485" t="s">
        <v>24</v>
      </c>
      <c r="N485">
        <v>1560.38</v>
      </c>
      <c r="O485">
        <v>15.2</v>
      </c>
      <c r="P485">
        <v>25.8529711541455</v>
      </c>
      <c r="Q485">
        <v>2.5055010000000002</v>
      </c>
      <c r="R485" s="3">
        <v>36.968962213899999</v>
      </c>
      <c r="S485">
        <v>41.91697570555106</v>
      </c>
      <c r="T485" s="3">
        <f t="shared" si="22"/>
        <v>41.91697570555106</v>
      </c>
      <c r="U485">
        <f t="shared" si="23"/>
        <v>16.06400455140556</v>
      </c>
    </row>
    <row r="486" spans="1:21" hidden="1" x14ac:dyDescent="0.25">
      <c r="A486" t="s">
        <v>172</v>
      </c>
      <c r="B486">
        <v>18</v>
      </c>
      <c r="C486">
        <v>5</v>
      </c>
      <c r="D486">
        <v>2</v>
      </c>
      <c r="E486">
        <v>6</v>
      </c>
      <c r="F486">
        <v>12</v>
      </c>
      <c r="G486">
        <v>34</v>
      </c>
      <c r="H486" t="s">
        <v>581</v>
      </c>
      <c r="I486" t="s">
        <v>582</v>
      </c>
      <c r="J486" t="s">
        <v>561</v>
      </c>
      <c r="K486" t="s">
        <v>583</v>
      </c>
      <c r="L486">
        <v>2025</v>
      </c>
      <c r="M486" t="s">
        <v>24</v>
      </c>
      <c r="N486">
        <v>1973.16</v>
      </c>
      <c r="O486">
        <v>16.399999999999999</v>
      </c>
      <c r="P486">
        <v>32.229444078224603</v>
      </c>
      <c r="Q486">
        <v>3.1365020000000001</v>
      </c>
      <c r="R486" s="3">
        <v>35.760993877799997</v>
      </c>
      <c r="S486">
        <v>54.020670808258473</v>
      </c>
      <c r="T486" s="3">
        <f t="shared" si="22"/>
        <v>54.020670808258473</v>
      </c>
      <c r="U486">
        <f t="shared" si="23"/>
        <v>21.79122673003387</v>
      </c>
    </row>
    <row r="487" spans="1:21" hidden="1" x14ac:dyDescent="0.25">
      <c r="A487" t="s">
        <v>190</v>
      </c>
      <c r="B487">
        <v>13</v>
      </c>
      <c r="C487">
        <v>8</v>
      </c>
      <c r="D487">
        <v>3</v>
      </c>
      <c r="E487">
        <v>1</v>
      </c>
      <c r="F487">
        <v>13</v>
      </c>
      <c r="G487">
        <v>32</v>
      </c>
      <c r="H487" t="s">
        <v>602</v>
      </c>
      <c r="I487" t="s">
        <v>603</v>
      </c>
      <c r="J487" t="s">
        <v>561</v>
      </c>
      <c r="K487" t="s">
        <v>604</v>
      </c>
      <c r="L487">
        <v>2025</v>
      </c>
      <c r="M487" t="s">
        <v>24</v>
      </c>
      <c r="N487">
        <v>1755.43</v>
      </c>
      <c r="O487">
        <v>16.100000000000001</v>
      </c>
      <c r="P487">
        <v>28.775952712617102</v>
      </c>
      <c r="Q487">
        <v>2.8079879999999999</v>
      </c>
      <c r="R487" s="3">
        <v>40.224902033200003</v>
      </c>
      <c r="S487">
        <v>42.879672004438071</v>
      </c>
      <c r="T487" s="3">
        <f t="shared" si="22"/>
        <v>42.879672004438071</v>
      </c>
      <c r="U487">
        <f t="shared" si="23"/>
        <v>14.103719291820969</v>
      </c>
    </row>
    <row r="488" spans="1:21" hidden="1" x14ac:dyDescent="0.25">
      <c r="A488" t="s">
        <v>79</v>
      </c>
      <c r="B488">
        <v>11</v>
      </c>
      <c r="C488">
        <v>6</v>
      </c>
      <c r="D488">
        <v>1</v>
      </c>
      <c r="E488">
        <v>6</v>
      </c>
      <c r="F488">
        <v>6</v>
      </c>
      <c r="G488">
        <v>34</v>
      </c>
      <c r="H488" t="s">
        <v>610</v>
      </c>
      <c r="I488" t="s">
        <v>582</v>
      </c>
      <c r="J488" t="s">
        <v>561</v>
      </c>
      <c r="K488" t="s">
        <v>611</v>
      </c>
      <c r="L488">
        <v>2025</v>
      </c>
      <c r="M488" t="s">
        <v>24</v>
      </c>
      <c r="N488">
        <v>1456.06</v>
      </c>
      <c r="O488">
        <v>15.7</v>
      </c>
      <c r="P488">
        <v>23.9823137403761</v>
      </c>
      <c r="Q488">
        <v>2.341628</v>
      </c>
      <c r="R488" s="3">
        <v>35.205049629199998</v>
      </c>
      <c r="S488">
        <v>40.832207332150482</v>
      </c>
      <c r="T488" s="3">
        <f t="shared" si="22"/>
        <v>40.832207332150482</v>
      </c>
      <c r="U488">
        <f t="shared" si="23"/>
        <v>16.849893591774382</v>
      </c>
    </row>
    <row r="489" spans="1:21" hidden="1" x14ac:dyDescent="0.25">
      <c r="A489" t="s">
        <v>72</v>
      </c>
      <c r="B489">
        <v>10</v>
      </c>
      <c r="C489">
        <v>8</v>
      </c>
      <c r="D489">
        <v>1</v>
      </c>
      <c r="E489">
        <v>5</v>
      </c>
      <c r="F489">
        <v>5</v>
      </c>
      <c r="G489">
        <v>34</v>
      </c>
      <c r="H489" t="s">
        <v>602</v>
      </c>
      <c r="I489" t="s">
        <v>603</v>
      </c>
      <c r="J489" t="s">
        <v>561</v>
      </c>
      <c r="K489" t="s">
        <v>604</v>
      </c>
      <c r="L489">
        <v>2025</v>
      </c>
      <c r="M489" t="s">
        <v>24</v>
      </c>
      <c r="N489">
        <v>1505.95</v>
      </c>
      <c r="O489">
        <v>15.4</v>
      </c>
      <c r="P489">
        <v>24.892307086412799</v>
      </c>
      <c r="Q489">
        <v>2.4494349999999998</v>
      </c>
      <c r="R489" s="3">
        <v>36.365473396500001</v>
      </c>
      <c r="S489">
        <v>41.029161658134328</v>
      </c>
      <c r="T489" s="3">
        <f t="shared" si="22"/>
        <v>41.029161658134328</v>
      </c>
      <c r="U489">
        <f t="shared" si="23"/>
        <v>16.136854571721528</v>
      </c>
    </row>
    <row r="490" spans="1:21" hidden="1" x14ac:dyDescent="0.25">
      <c r="A490" t="s">
        <v>235</v>
      </c>
      <c r="B490">
        <v>11</v>
      </c>
      <c r="C490">
        <v>8</v>
      </c>
      <c r="D490">
        <v>4</v>
      </c>
      <c r="E490">
        <v>4</v>
      </c>
      <c r="F490">
        <v>22</v>
      </c>
      <c r="G490">
        <v>33</v>
      </c>
      <c r="H490" t="s">
        <v>602</v>
      </c>
      <c r="I490" t="s">
        <v>603</v>
      </c>
      <c r="J490" t="s">
        <v>561</v>
      </c>
      <c r="K490" t="s">
        <v>604</v>
      </c>
      <c r="L490">
        <v>2025</v>
      </c>
      <c r="M490" t="s">
        <v>24</v>
      </c>
      <c r="N490">
        <v>1646.57</v>
      </c>
      <c r="O490">
        <v>16.8</v>
      </c>
      <c r="P490">
        <v>26.7662641089922</v>
      </c>
      <c r="Q490">
        <v>2.5173610000000002</v>
      </c>
      <c r="R490" s="3">
        <v>39.0966220679</v>
      </c>
      <c r="S490">
        <v>41.036022700545502</v>
      </c>
      <c r="T490" s="3">
        <f t="shared" si="22"/>
        <v>41.036022700545502</v>
      </c>
      <c r="U490">
        <f t="shared" si="23"/>
        <v>14.269758591553302</v>
      </c>
    </row>
    <row r="491" spans="1:21" hidden="1" x14ac:dyDescent="0.25">
      <c r="A491" t="s">
        <v>191</v>
      </c>
      <c r="B491">
        <v>7</v>
      </c>
      <c r="C491">
        <v>16</v>
      </c>
      <c r="D491">
        <v>3</v>
      </c>
      <c r="E491">
        <v>1</v>
      </c>
      <c r="F491">
        <v>13</v>
      </c>
      <c r="G491">
        <v>33</v>
      </c>
      <c r="H491" t="s">
        <v>587</v>
      </c>
      <c r="I491" t="s">
        <v>588</v>
      </c>
      <c r="J491" t="s">
        <v>561</v>
      </c>
      <c r="K491" t="s">
        <v>589</v>
      </c>
      <c r="L491">
        <v>2025</v>
      </c>
      <c r="M491" t="s">
        <v>24</v>
      </c>
      <c r="N491">
        <v>1469.66</v>
      </c>
      <c r="O491">
        <v>15.4</v>
      </c>
      <c r="P491">
        <v>24.292458602621199</v>
      </c>
      <c r="Q491">
        <v>1.6203799999999999</v>
      </c>
      <c r="R491" s="3">
        <v>37.441608281999997</v>
      </c>
      <c r="S491">
        <v>38.889621345168777</v>
      </c>
      <c r="T491" s="3">
        <f t="shared" si="22"/>
        <v>38.889621345168777</v>
      </c>
      <c r="U491">
        <f t="shared" si="23"/>
        <v>14.597162742547578</v>
      </c>
    </row>
    <row r="492" spans="1:21" hidden="1" x14ac:dyDescent="0.25">
      <c r="A492" t="s">
        <v>376</v>
      </c>
      <c r="B492">
        <v>18</v>
      </c>
      <c r="C492">
        <v>1</v>
      </c>
      <c r="D492">
        <v>3</v>
      </c>
      <c r="E492">
        <v>2</v>
      </c>
      <c r="F492">
        <v>14</v>
      </c>
      <c r="G492">
        <v>34</v>
      </c>
      <c r="H492" t="s">
        <v>590</v>
      </c>
      <c r="I492" t="s">
        <v>591</v>
      </c>
      <c r="J492" t="s">
        <v>561</v>
      </c>
      <c r="K492" t="s">
        <v>592</v>
      </c>
      <c r="L492">
        <v>2025</v>
      </c>
      <c r="M492" t="s">
        <v>24</v>
      </c>
      <c r="N492">
        <v>1741.82</v>
      </c>
      <c r="O492">
        <v>16</v>
      </c>
      <c r="P492">
        <v>28.5868822752292</v>
      </c>
      <c r="Q492">
        <v>3.0257689999999999</v>
      </c>
      <c r="R492" s="3">
        <v>52.569074939099998</v>
      </c>
      <c r="S492">
        <v>32.595165989933832</v>
      </c>
      <c r="T492" s="3">
        <f t="shared" si="22"/>
        <v>32.595165989933832</v>
      </c>
      <c r="U492">
        <f t="shared" si="23"/>
        <v>4.008283714704632</v>
      </c>
    </row>
    <row r="493" spans="1:21" hidden="1" x14ac:dyDescent="0.25">
      <c r="A493" t="s">
        <v>53</v>
      </c>
      <c r="B493">
        <v>9</v>
      </c>
      <c r="C493">
        <v>16</v>
      </c>
      <c r="D493">
        <v>1</v>
      </c>
      <c r="E493">
        <v>4</v>
      </c>
      <c r="F493">
        <v>4</v>
      </c>
      <c r="G493">
        <v>32</v>
      </c>
      <c r="H493" t="s">
        <v>587</v>
      </c>
      <c r="I493" t="s">
        <v>588</v>
      </c>
      <c r="J493" t="s">
        <v>561</v>
      </c>
      <c r="K493" t="s">
        <v>589</v>
      </c>
      <c r="L493">
        <v>2025</v>
      </c>
      <c r="M493" t="s">
        <v>24</v>
      </c>
      <c r="N493">
        <v>1188.43</v>
      </c>
      <c r="O493">
        <v>14.9</v>
      </c>
      <c r="P493">
        <v>19.760020946549901</v>
      </c>
      <c r="Q493">
        <v>2.1196410000000001</v>
      </c>
      <c r="R493" s="3">
        <v>32.8156037599</v>
      </c>
      <c r="S493">
        <v>36.093063050192306</v>
      </c>
      <c r="T493" s="3">
        <f t="shared" si="22"/>
        <v>36.093063050192306</v>
      </c>
      <c r="U493">
        <f t="shared" si="23"/>
        <v>16.333042103642406</v>
      </c>
    </row>
    <row r="494" spans="1:21" hidden="1" x14ac:dyDescent="0.25">
      <c r="A494" t="s">
        <v>57</v>
      </c>
      <c r="B494">
        <v>19</v>
      </c>
      <c r="C494">
        <v>1</v>
      </c>
      <c r="D494">
        <v>1</v>
      </c>
      <c r="E494">
        <v>4</v>
      </c>
      <c r="F494">
        <v>4</v>
      </c>
      <c r="G494">
        <v>33</v>
      </c>
      <c r="H494" t="s">
        <v>590</v>
      </c>
      <c r="I494" t="s">
        <v>591</v>
      </c>
      <c r="J494" t="s">
        <v>561</v>
      </c>
      <c r="K494" t="s">
        <v>592</v>
      </c>
      <c r="L494">
        <v>2025</v>
      </c>
      <c r="M494" t="s">
        <v>24</v>
      </c>
      <c r="N494">
        <v>1823.47</v>
      </c>
      <c r="O494">
        <v>16.899999999999999</v>
      </c>
      <c r="P494">
        <v>29.606282623118702</v>
      </c>
      <c r="Q494">
        <v>3.2974109999999999</v>
      </c>
      <c r="R494" s="3">
        <v>55.493002262899999</v>
      </c>
      <c r="S494">
        <v>31.97881729344002</v>
      </c>
      <c r="T494" s="3">
        <f t="shared" si="22"/>
        <v>31.97881729344002</v>
      </c>
      <c r="U494">
        <f t="shared" si="23"/>
        <v>2.3725346703213184</v>
      </c>
    </row>
    <row r="495" spans="1:21" hidden="1" x14ac:dyDescent="0.25">
      <c r="A495" t="s">
        <v>229</v>
      </c>
      <c r="B495">
        <v>9</v>
      </c>
      <c r="C495">
        <v>17</v>
      </c>
      <c r="D495">
        <v>4</v>
      </c>
      <c r="E495">
        <v>2</v>
      </c>
      <c r="F495">
        <v>20</v>
      </c>
      <c r="G495">
        <v>33</v>
      </c>
      <c r="H495" t="s">
        <v>584</v>
      </c>
      <c r="I495" t="s">
        <v>585</v>
      </c>
      <c r="J495" t="s">
        <v>561</v>
      </c>
      <c r="K495" t="s">
        <v>586</v>
      </c>
      <c r="L495">
        <v>2025</v>
      </c>
      <c r="M495" t="s">
        <v>24</v>
      </c>
      <c r="N495">
        <v>1152.1400000000001</v>
      </c>
      <c r="O495">
        <v>15.6</v>
      </c>
      <c r="P495">
        <v>18.999052181617699</v>
      </c>
      <c r="Q495">
        <v>2.164647</v>
      </c>
      <c r="R495" s="3">
        <v>43.300043843300003</v>
      </c>
      <c r="S495">
        <v>26.300277937071311</v>
      </c>
      <c r="T495" s="3">
        <f t="shared" si="22"/>
        <v>26.300277937071311</v>
      </c>
      <c r="U495">
        <f t="shared" si="23"/>
        <v>7.3012257554536113</v>
      </c>
    </row>
    <row r="496" spans="1:21" hidden="1" x14ac:dyDescent="0.25">
      <c r="A496" t="s">
        <v>171</v>
      </c>
      <c r="B496">
        <v>16</v>
      </c>
      <c r="C496">
        <v>6</v>
      </c>
      <c r="D496">
        <v>2</v>
      </c>
      <c r="E496">
        <v>6</v>
      </c>
      <c r="F496">
        <v>12</v>
      </c>
      <c r="G496">
        <v>33</v>
      </c>
      <c r="H496" t="s">
        <v>610</v>
      </c>
      <c r="I496" t="s">
        <v>582</v>
      </c>
      <c r="J496" t="s">
        <v>561</v>
      </c>
      <c r="K496" t="s">
        <v>611</v>
      </c>
      <c r="L496">
        <v>2025</v>
      </c>
      <c r="M496" t="s">
        <v>24</v>
      </c>
      <c r="N496">
        <v>1877.9</v>
      </c>
      <c r="O496">
        <v>15.5</v>
      </c>
      <c r="P496">
        <v>31.003691376884699</v>
      </c>
      <c r="Q496">
        <v>2.6082380000000001</v>
      </c>
      <c r="R496" s="3">
        <v>48.074813008200003</v>
      </c>
      <c r="S496">
        <v>38.655610804216593</v>
      </c>
      <c r="T496" s="3">
        <f t="shared" si="22"/>
        <v>38.655610804216593</v>
      </c>
      <c r="U496">
        <f t="shared" si="23"/>
        <v>7.6519194273318938</v>
      </c>
    </row>
    <row r="497" spans="1:21" hidden="1" x14ac:dyDescent="0.25">
      <c r="A497" t="s">
        <v>192</v>
      </c>
      <c r="B497">
        <v>15</v>
      </c>
      <c r="C497">
        <v>12</v>
      </c>
      <c r="D497">
        <v>3</v>
      </c>
      <c r="E497">
        <v>1</v>
      </c>
      <c r="F497">
        <v>13</v>
      </c>
      <c r="G497">
        <v>34</v>
      </c>
      <c r="H497" t="s">
        <v>607</v>
      </c>
      <c r="I497" t="s">
        <v>608</v>
      </c>
      <c r="J497" t="s">
        <v>561</v>
      </c>
      <c r="K497" t="s">
        <v>609</v>
      </c>
      <c r="L497">
        <v>2025</v>
      </c>
      <c r="M497" t="s">
        <v>24</v>
      </c>
      <c r="N497">
        <v>1555.85</v>
      </c>
      <c r="O497">
        <v>15.8</v>
      </c>
      <c r="P497">
        <v>25.595525468041298</v>
      </c>
      <c r="Q497">
        <v>2.9219580000000001</v>
      </c>
      <c r="R497" s="3">
        <v>51.451663716200002</v>
      </c>
      <c r="S497">
        <v>29.81819606488914</v>
      </c>
      <c r="T497" s="3">
        <f t="shared" si="22"/>
        <v>29.81819606488914</v>
      </c>
      <c r="U497">
        <f t="shared" si="23"/>
        <v>4.2226705968478413</v>
      </c>
    </row>
    <row r="498" spans="1:21" hidden="1" x14ac:dyDescent="0.25">
      <c r="A498" t="s">
        <v>160</v>
      </c>
      <c r="B498">
        <v>14</v>
      </c>
      <c r="C498">
        <v>8</v>
      </c>
      <c r="D498">
        <v>2</v>
      </c>
      <c r="E498">
        <v>3</v>
      </c>
      <c r="F498">
        <v>9</v>
      </c>
      <c r="G498">
        <v>33</v>
      </c>
      <c r="H498" t="s">
        <v>602</v>
      </c>
      <c r="I498" t="s">
        <v>603</v>
      </c>
      <c r="J498" t="s">
        <v>561</v>
      </c>
      <c r="K498" t="s">
        <v>604</v>
      </c>
      <c r="L498">
        <v>2025</v>
      </c>
      <c r="M498" t="s">
        <v>24</v>
      </c>
      <c r="N498">
        <v>1955.02</v>
      </c>
      <c r="O498">
        <v>16.899999999999999</v>
      </c>
      <c r="P498">
        <v>31.742158990194199</v>
      </c>
      <c r="Q498">
        <v>2.9765760000000001</v>
      </c>
      <c r="R498" s="3">
        <v>45.039566406399999</v>
      </c>
      <c r="S498">
        <v>42.243413107144917</v>
      </c>
      <c r="T498" s="3">
        <f t="shared" si="22"/>
        <v>42.243413107144917</v>
      </c>
      <c r="U498">
        <f t="shared" si="23"/>
        <v>10.501254116950719</v>
      </c>
    </row>
    <row r="499" spans="1:21" hidden="1" x14ac:dyDescent="0.25">
      <c r="A499" t="s">
        <v>238</v>
      </c>
      <c r="B499">
        <v>16</v>
      </c>
      <c r="C499">
        <v>13</v>
      </c>
      <c r="D499">
        <v>4</v>
      </c>
      <c r="E499">
        <v>5</v>
      </c>
      <c r="F499">
        <v>23</v>
      </c>
      <c r="G499">
        <v>33</v>
      </c>
      <c r="H499" t="s">
        <v>569</v>
      </c>
      <c r="I499" t="s">
        <v>570</v>
      </c>
      <c r="J499" t="s">
        <v>561</v>
      </c>
      <c r="K499" t="s">
        <v>571</v>
      </c>
      <c r="L499">
        <v>2025</v>
      </c>
      <c r="M499" t="s">
        <v>24</v>
      </c>
      <c r="N499">
        <v>1524.1</v>
      </c>
      <c r="O499">
        <v>16.399999999999999</v>
      </c>
      <c r="P499">
        <v>24.8945324857701</v>
      </c>
      <c r="Q499">
        <v>2.9324849999999998</v>
      </c>
      <c r="R499" s="3">
        <v>31.564975291500001</v>
      </c>
      <c r="S499">
        <v>47.273228108589073</v>
      </c>
      <c r="T499" s="3">
        <f t="shared" si="22"/>
        <v>47.273228108589073</v>
      </c>
      <c r="U499">
        <f t="shared" si="23"/>
        <v>22.378695622818974</v>
      </c>
    </row>
    <row r="500" spans="1:21" hidden="1" x14ac:dyDescent="0.25">
      <c r="A500" t="s">
        <v>233</v>
      </c>
      <c r="B500">
        <v>13</v>
      </c>
      <c r="C500">
        <v>7</v>
      </c>
      <c r="D500">
        <v>4</v>
      </c>
      <c r="E500">
        <v>3</v>
      </c>
      <c r="F500">
        <v>21</v>
      </c>
      <c r="G500">
        <v>34</v>
      </c>
      <c r="H500" t="s">
        <v>559</v>
      </c>
      <c r="I500" t="s">
        <v>560</v>
      </c>
      <c r="J500" t="s">
        <v>561</v>
      </c>
      <c r="K500" t="s">
        <v>562</v>
      </c>
      <c r="L500">
        <v>2025</v>
      </c>
      <c r="M500" t="s">
        <v>24</v>
      </c>
      <c r="N500">
        <v>1474.2</v>
      </c>
      <c r="O500">
        <v>15.5</v>
      </c>
      <c r="P500">
        <v>24.338698454552102</v>
      </c>
      <c r="Q500">
        <v>2.9114979999999999</v>
      </c>
      <c r="R500" s="3">
        <v>31.339073322200001</v>
      </c>
      <c r="S500">
        <v>46.550884589571567</v>
      </c>
      <c r="T500" s="3">
        <f t="shared" si="22"/>
        <v>46.550884589571567</v>
      </c>
      <c r="U500">
        <f t="shared" si="23"/>
        <v>22.212186135019465</v>
      </c>
    </row>
    <row r="501" spans="1:21" hidden="1" x14ac:dyDescent="0.25">
      <c r="A501" t="s">
        <v>196</v>
      </c>
      <c r="B501">
        <v>17</v>
      </c>
      <c r="C501">
        <v>9</v>
      </c>
      <c r="D501">
        <v>3</v>
      </c>
      <c r="E501">
        <v>3</v>
      </c>
      <c r="F501">
        <v>15</v>
      </c>
      <c r="G501">
        <v>33</v>
      </c>
      <c r="H501" t="s">
        <v>593</v>
      </c>
      <c r="I501" t="s">
        <v>594</v>
      </c>
      <c r="J501" t="s">
        <v>561</v>
      </c>
      <c r="K501" t="s">
        <v>595</v>
      </c>
      <c r="L501">
        <v>2025</v>
      </c>
      <c r="M501" t="s">
        <v>24</v>
      </c>
      <c r="N501">
        <v>1542.24</v>
      </c>
      <c r="O501">
        <v>16.100000000000001</v>
      </c>
      <c r="P501">
        <v>25.281227569032499</v>
      </c>
      <c r="Q501">
        <v>3.0244599999999999</v>
      </c>
      <c r="R501" s="3">
        <v>32.554984993999987</v>
      </c>
      <c r="S501">
        <v>46.547611088350713</v>
      </c>
      <c r="T501" s="3">
        <f t="shared" si="22"/>
        <v>46.547611088350713</v>
      </c>
      <c r="U501">
        <f t="shared" si="23"/>
        <v>21.266383519318214</v>
      </c>
    </row>
    <row r="502" spans="1:21" hidden="1" x14ac:dyDescent="0.25">
      <c r="A502" t="s">
        <v>60</v>
      </c>
      <c r="B502">
        <v>19</v>
      </c>
      <c r="C502">
        <v>9</v>
      </c>
      <c r="D502">
        <v>1</v>
      </c>
      <c r="E502">
        <v>4</v>
      </c>
      <c r="F502">
        <v>4</v>
      </c>
      <c r="G502">
        <v>34</v>
      </c>
      <c r="H502" t="s">
        <v>593</v>
      </c>
      <c r="I502" t="s">
        <v>594</v>
      </c>
      <c r="J502" t="s">
        <v>561</v>
      </c>
      <c r="K502" t="s">
        <v>595</v>
      </c>
      <c r="L502">
        <v>2025</v>
      </c>
      <c r="M502" t="s">
        <v>24</v>
      </c>
      <c r="N502">
        <v>1592.14</v>
      </c>
      <c r="O502">
        <v>15.3</v>
      </c>
      <c r="P502">
        <v>26.348075424114299</v>
      </c>
      <c r="Q502">
        <v>3.232802</v>
      </c>
      <c r="R502" s="3">
        <v>34.797557447800003</v>
      </c>
      <c r="S502">
        <v>45.385474060658744</v>
      </c>
      <c r="T502" s="3">
        <f t="shared" si="22"/>
        <v>45.385474060658744</v>
      </c>
      <c r="U502">
        <f t="shared" si="23"/>
        <v>19.037398636544445</v>
      </c>
    </row>
    <row r="503" spans="1:21" hidden="1" x14ac:dyDescent="0.25">
      <c r="A503" t="s">
        <v>159</v>
      </c>
      <c r="B503">
        <v>12</v>
      </c>
      <c r="C503">
        <v>16</v>
      </c>
      <c r="D503">
        <v>2</v>
      </c>
      <c r="E503">
        <v>3</v>
      </c>
      <c r="F503">
        <v>9</v>
      </c>
      <c r="G503">
        <v>32</v>
      </c>
      <c r="H503" t="s">
        <v>587</v>
      </c>
      <c r="I503" t="s">
        <v>588</v>
      </c>
      <c r="J503" t="s">
        <v>561</v>
      </c>
      <c r="K503" t="s">
        <v>589</v>
      </c>
      <c r="L503">
        <v>2025</v>
      </c>
      <c r="M503" t="s">
        <v>24</v>
      </c>
      <c r="N503">
        <v>1583.06</v>
      </c>
      <c r="O503">
        <v>15</v>
      </c>
      <c r="P503">
        <v>26.290602287666399</v>
      </c>
      <c r="Q503">
        <v>2.3612109999999999</v>
      </c>
      <c r="R503" s="3">
        <v>35.4158390829</v>
      </c>
      <c r="S503">
        <v>44.495873652294883</v>
      </c>
      <c r="T503" s="3">
        <f t="shared" si="22"/>
        <v>44.495873652294883</v>
      </c>
      <c r="U503">
        <f t="shared" si="23"/>
        <v>18.205271364628484</v>
      </c>
    </row>
    <row r="504" spans="1:21" hidden="1" x14ac:dyDescent="0.25">
      <c r="A504" t="s">
        <v>237</v>
      </c>
      <c r="B504">
        <v>10</v>
      </c>
      <c r="C504">
        <v>10</v>
      </c>
      <c r="D504">
        <v>4</v>
      </c>
      <c r="E504">
        <v>5</v>
      </c>
      <c r="F504">
        <v>23</v>
      </c>
      <c r="G504">
        <v>32</v>
      </c>
      <c r="H504" t="s">
        <v>572</v>
      </c>
      <c r="I504" t="s">
        <v>573</v>
      </c>
      <c r="J504" t="s">
        <v>561</v>
      </c>
      <c r="K504" t="s">
        <v>574</v>
      </c>
      <c r="L504">
        <v>2025</v>
      </c>
      <c r="M504" t="s">
        <v>24</v>
      </c>
      <c r="N504">
        <v>1306.3699999999999</v>
      </c>
      <c r="O504">
        <v>16</v>
      </c>
      <c r="P504">
        <v>21.440243766801999</v>
      </c>
      <c r="Q504">
        <v>2.2363330000000001</v>
      </c>
      <c r="R504" s="3">
        <v>29.071664778700001</v>
      </c>
      <c r="S504">
        <v>44.205525248202882</v>
      </c>
      <c r="T504" s="3">
        <f t="shared" si="22"/>
        <v>44.205525248202882</v>
      </c>
      <c r="U504">
        <f t="shared" si="23"/>
        <v>22.765281481400883</v>
      </c>
    </row>
    <row r="505" spans="1:21" hidden="1" x14ac:dyDescent="0.25">
      <c r="A505" t="s">
        <v>25</v>
      </c>
      <c r="B505">
        <v>9</v>
      </c>
      <c r="C505">
        <v>4</v>
      </c>
      <c r="D505">
        <v>1</v>
      </c>
      <c r="E505">
        <v>1</v>
      </c>
      <c r="F505">
        <v>1</v>
      </c>
      <c r="G505">
        <v>33</v>
      </c>
      <c r="H505" t="s">
        <v>563</v>
      </c>
      <c r="I505" t="s">
        <v>564</v>
      </c>
      <c r="J505" t="s">
        <v>561</v>
      </c>
      <c r="K505" t="s">
        <v>565</v>
      </c>
      <c r="L505">
        <v>2025</v>
      </c>
      <c r="M505" t="s">
        <v>24</v>
      </c>
      <c r="N505">
        <v>1038.74</v>
      </c>
      <c r="O505">
        <v>16.7</v>
      </c>
      <c r="P505">
        <v>16.9058141926931</v>
      </c>
      <c r="Q505">
        <v>2.130404</v>
      </c>
      <c r="R505" s="3">
        <v>22.931455615600001</v>
      </c>
      <c r="S505">
        <v>44.189715633257386</v>
      </c>
      <c r="T505" s="3">
        <f t="shared" si="22"/>
        <v>44.189715633257386</v>
      </c>
      <c r="U505">
        <f t="shared" si="23"/>
        <v>27.283901440564286</v>
      </c>
    </row>
    <row r="506" spans="1:21" hidden="1" x14ac:dyDescent="0.25">
      <c r="A506" t="s">
        <v>231</v>
      </c>
      <c r="B506">
        <v>7</v>
      </c>
      <c r="C506">
        <v>4</v>
      </c>
      <c r="D506">
        <v>4</v>
      </c>
      <c r="E506">
        <v>3</v>
      </c>
      <c r="F506">
        <v>21</v>
      </c>
      <c r="G506">
        <v>32</v>
      </c>
      <c r="H506" t="s">
        <v>563</v>
      </c>
      <c r="I506" t="s">
        <v>564</v>
      </c>
      <c r="J506" t="s">
        <v>561</v>
      </c>
      <c r="K506" t="s">
        <v>565</v>
      </c>
      <c r="L506">
        <v>2025</v>
      </c>
      <c r="M506" t="s">
        <v>24</v>
      </c>
      <c r="N506">
        <v>1251.94</v>
      </c>
      <c r="O506">
        <v>17.8</v>
      </c>
      <c r="P506">
        <v>20.106643015450601</v>
      </c>
      <c r="Q506">
        <v>1.6104290000000001</v>
      </c>
      <c r="R506" s="3">
        <v>37.334496713100002</v>
      </c>
      <c r="S506">
        <v>32.280927518790662</v>
      </c>
      <c r="T506" s="3">
        <f t="shared" si="22"/>
        <v>32.280927518790662</v>
      </c>
      <c r="U506">
        <f t="shared" si="23"/>
        <v>12.174284503340061</v>
      </c>
    </row>
    <row r="507" spans="1:21" hidden="1" x14ac:dyDescent="0.25">
      <c r="A507" t="s">
        <v>64</v>
      </c>
      <c r="B507">
        <v>18</v>
      </c>
      <c r="C507">
        <v>3</v>
      </c>
      <c r="D507">
        <v>1</v>
      </c>
      <c r="E507">
        <v>5</v>
      </c>
      <c r="F507">
        <v>5</v>
      </c>
      <c r="G507">
        <v>32</v>
      </c>
      <c r="H507" t="s">
        <v>596</v>
      </c>
      <c r="I507" t="s">
        <v>597</v>
      </c>
      <c r="J507" t="s">
        <v>561</v>
      </c>
      <c r="K507" t="s">
        <v>598</v>
      </c>
      <c r="L507">
        <v>2025</v>
      </c>
      <c r="M507" t="s">
        <v>24</v>
      </c>
      <c r="N507">
        <v>1501.42</v>
      </c>
      <c r="O507">
        <v>16</v>
      </c>
      <c r="P507">
        <v>24.641419196974802</v>
      </c>
      <c r="Q507">
        <v>3.123075</v>
      </c>
      <c r="R507" s="3">
        <v>33.616466992500001</v>
      </c>
      <c r="S507">
        <v>43.936998703528069</v>
      </c>
      <c r="T507" s="3">
        <f t="shared" si="22"/>
        <v>43.936998703528069</v>
      </c>
      <c r="U507">
        <f t="shared" si="23"/>
        <v>19.295579506553267</v>
      </c>
    </row>
    <row r="508" spans="1:21" hidden="1" x14ac:dyDescent="0.25">
      <c r="A508" t="s">
        <v>225</v>
      </c>
      <c r="B508">
        <v>14</v>
      </c>
      <c r="C508">
        <v>6</v>
      </c>
      <c r="D508">
        <v>4</v>
      </c>
      <c r="E508">
        <v>1</v>
      </c>
      <c r="F508">
        <v>19</v>
      </c>
      <c r="G508">
        <v>32</v>
      </c>
      <c r="H508" t="s">
        <v>610</v>
      </c>
      <c r="I508" t="s">
        <v>582</v>
      </c>
      <c r="J508" t="s">
        <v>561</v>
      </c>
      <c r="K508" t="s">
        <v>611</v>
      </c>
      <c r="L508">
        <v>2025</v>
      </c>
      <c r="M508" t="s">
        <v>24</v>
      </c>
      <c r="N508">
        <v>1333.58</v>
      </c>
      <c r="O508">
        <v>16</v>
      </c>
      <c r="P508">
        <v>21.886816355651</v>
      </c>
      <c r="Q508">
        <v>2.7870249999999999</v>
      </c>
      <c r="R508" s="3">
        <v>29.9992583975</v>
      </c>
      <c r="S508">
        <v>43.730940111074567</v>
      </c>
      <c r="T508" s="3">
        <f t="shared" si="22"/>
        <v>43.730940111074567</v>
      </c>
      <c r="U508">
        <f t="shared" si="23"/>
        <v>21.844123755423567</v>
      </c>
    </row>
    <row r="509" spans="1:21" hidden="1" x14ac:dyDescent="0.25">
      <c r="A509" t="s">
        <v>167</v>
      </c>
      <c r="B509">
        <v>24</v>
      </c>
      <c r="C509">
        <v>1</v>
      </c>
      <c r="D509">
        <v>2</v>
      </c>
      <c r="E509">
        <v>5</v>
      </c>
      <c r="F509">
        <v>11</v>
      </c>
      <c r="G509">
        <v>34</v>
      </c>
      <c r="H509" t="s">
        <v>590</v>
      </c>
      <c r="I509" t="s">
        <v>591</v>
      </c>
      <c r="J509" t="s">
        <v>561</v>
      </c>
      <c r="K509" t="s">
        <v>592</v>
      </c>
      <c r="L509">
        <v>2025</v>
      </c>
      <c r="M509" t="s">
        <v>24</v>
      </c>
      <c r="N509">
        <v>1886.98</v>
      </c>
      <c r="O509">
        <v>15.8</v>
      </c>
      <c r="P509">
        <v>31.0429955636369</v>
      </c>
      <c r="Q509">
        <v>3.9823789999999999</v>
      </c>
      <c r="R509" s="3">
        <v>42.865929318099987</v>
      </c>
      <c r="S509">
        <v>43.407834233019109</v>
      </c>
      <c r="T509" s="3">
        <f t="shared" si="22"/>
        <v>43.407834233019109</v>
      </c>
      <c r="U509">
        <f t="shared" si="23"/>
        <v>12.364838669382209</v>
      </c>
    </row>
    <row r="510" spans="1:21" hidden="1" x14ac:dyDescent="0.25">
      <c r="A510" t="s">
        <v>162</v>
      </c>
      <c r="B510">
        <v>19</v>
      </c>
      <c r="C510">
        <v>14</v>
      </c>
      <c r="D510">
        <v>2</v>
      </c>
      <c r="E510">
        <v>4</v>
      </c>
      <c r="F510">
        <v>10</v>
      </c>
      <c r="G510">
        <v>32</v>
      </c>
      <c r="H510" t="s">
        <v>575</v>
      </c>
      <c r="I510" t="s">
        <v>576</v>
      </c>
      <c r="J510" t="s">
        <v>561</v>
      </c>
      <c r="K510" t="s">
        <v>577</v>
      </c>
      <c r="L510">
        <v>2025</v>
      </c>
      <c r="M510" t="s">
        <v>24</v>
      </c>
      <c r="N510">
        <v>1701</v>
      </c>
      <c r="O510">
        <v>16.399999999999999</v>
      </c>
      <c r="P510">
        <v>27.784003515710801</v>
      </c>
      <c r="Q510">
        <v>3.6144020000000001</v>
      </c>
      <c r="R510" s="3">
        <v>38.9050616878</v>
      </c>
      <c r="S510">
        <v>42.806079684329141</v>
      </c>
      <c r="T510" s="3">
        <f t="shared" si="22"/>
        <v>42.806079684329141</v>
      </c>
      <c r="U510">
        <f t="shared" si="23"/>
        <v>15.022076168618341</v>
      </c>
    </row>
    <row r="511" spans="1:21" hidden="1" x14ac:dyDescent="0.25">
      <c r="A511" t="s">
        <v>163</v>
      </c>
      <c r="B511">
        <v>22</v>
      </c>
      <c r="C511">
        <v>7</v>
      </c>
      <c r="D511">
        <v>2</v>
      </c>
      <c r="E511">
        <v>4</v>
      </c>
      <c r="F511">
        <v>10</v>
      </c>
      <c r="G511">
        <v>33</v>
      </c>
      <c r="H511" t="s">
        <v>559</v>
      </c>
      <c r="I511" t="s">
        <v>560</v>
      </c>
      <c r="J511" t="s">
        <v>561</v>
      </c>
      <c r="K511" t="s">
        <v>562</v>
      </c>
      <c r="L511">
        <v>2025</v>
      </c>
      <c r="M511" t="s">
        <v>24</v>
      </c>
      <c r="N511">
        <v>1673.78</v>
      </c>
      <c r="O511">
        <v>16.600000000000001</v>
      </c>
      <c r="P511">
        <v>27.273988874666401</v>
      </c>
      <c r="Q511">
        <v>3.7341099999999998</v>
      </c>
      <c r="R511" s="3">
        <v>40.193586629000002</v>
      </c>
      <c r="S511">
        <v>40.673227503613205</v>
      </c>
      <c r="T511" s="3">
        <f t="shared" si="22"/>
        <v>40.673227503613205</v>
      </c>
      <c r="U511">
        <f t="shared" si="23"/>
        <v>13.399238628946804</v>
      </c>
    </row>
    <row r="512" spans="1:21" hidden="1" x14ac:dyDescent="0.25">
      <c r="A512" t="s">
        <v>19</v>
      </c>
      <c r="B512">
        <v>13</v>
      </c>
      <c r="C512">
        <v>7</v>
      </c>
      <c r="D512">
        <v>1</v>
      </c>
      <c r="E512">
        <v>1</v>
      </c>
      <c r="F512">
        <v>1</v>
      </c>
      <c r="G512">
        <v>32</v>
      </c>
      <c r="H512" t="s">
        <v>559</v>
      </c>
      <c r="I512" t="s">
        <v>560</v>
      </c>
      <c r="J512" t="s">
        <v>561</v>
      </c>
      <c r="K512" t="s">
        <v>562</v>
      </c>
      <c r="L512">
        <v>2025</v>
      </c>
      <c r="M512" t="s">
        <v>24</v>
      </c>
      <c r="N512">
        <v>1161.22</v>
      </c>
      <c r="O512">
        <v>15.9</v>
      </c>
      <c r="P512">
        <v>19.08071906272</v>
      </c>
      <c r="Q512">
        <v>2.6171609999999998</v>
      </c>
      <c r="R512" s="3">
        <v>28.170859287900001</v>
      </c>
      <c r="S512">
        <v>40.598630270063438</v>
      </c>
      <c r="T512" s="3">
        <f t="shared" si="22"/>
        <v>40.598630270063438</v>
      </c>
      <c r="U512">
        <f t="shared" si="23"/>
        <v>21.517911207343438</v>
      </c>
    </row>
    <row r="513" spans="1:21" hidden="1" x14ac:dyDescent="0.25">
      <c r="A513" t="s">
        <v>161</v>
      </c>
      <c r="B513">
        <v>15</v>
      </c>
      <c r="C513">
        <v>12</v>
      </c>
      <c r="D513">
        <v>2</v>
      </c>
      <c r="E513">
        <v>3</v>
      </c>
      <c r="F513">
        <v>9</v>
      </c>
      <c r="G513">
        <v>34</v>
      </c>
      <c r="H513" t="s">
        <v>607</v>
      </c>
      <c r="I513" t="s">
        <v>608</v>
      </c>
      <c r="J513" t="s">
        <v>561</v>
      </c>
      <c r="K513" t="s">
        <v>609</v>
      </c>
      <c r="L513">
        <v>2025</v>
      </c>
      <c r="M513" t="s">
        <v>24</v>
      </c>
      <c r="N513">
        <v>1388.02</v>
      </c>
      <c r="O513">
        <v>16.2</v>
      </c>
      <c r="P513">
        <v>22.726050989691501</v>
      </c>
      <c r="Q513">
        <v>3.1316039999999998</v>
      </c>
      <c r="R513" s="3">
        <v>33.708272295599997</v>
      </c>
      <c r="S513">
        <v>40.411430297479725</v>
      </c>
      <c r="T513" s="3">
        <f t="shared" si="22"/>
        <v>40.411430297479725</v>
      </c>
      <c r="U513">
        <f t="shared" si="23"/>
        <v>17.685379307788224</v>
      </c>
    </row>
    <row r="514" spans="1:21" hidden="1" x14ac:dyDescent="0.25">
      <c r="A514" t="s">
        <v>197</v>
      </c>
      <c r="B514">
        <v>17</v>
      </c>
      <c r="C514">
        <v>7</v>
      </c>
      <c r="D514">
        <v>3</v>
      </c>
      <c r="E514">
        <v>3</v>
      </c>
      <c r="F514">
        <v>15</v>
      </c>
      <c r="G514">
        <v>34</v>
      </c>
      <c r="H514" t="s">
        <v>559</v>
      </c>
      <c r="I514" t="s">
        <v>560</v>
      </c>
      <c r="J514" t="s">
        <v>561</v>
      </c>
      <c r="K514" t="s">
        <v>562</v>
      </c>
      <c r="L514">
        <v>2025</v>
      </c>
      <c r="M514" t="s">
        <v>24</v>
      </c>
      <c r="N514">
        <v>1065.96</v>
      </c>
      <c r="O514">
        <v>15.3</v>
      </c>
      <c r="P514">
        <v>17.640405039185499</v>
      </c>
      <c r="Q514">
        <v>2.4543240000000002</v>
      </c>
      <c r="R514" s="3">
        <v>26.418098103599998</v>
      </c>
      <c r="S514">
        <v>40.024299777457983</v>
      </c>
      <c r="T514" s="3">
        <f t="shared" si="22"/>
        <v>40.024299777457983</v>
      </c>
      <c r="U514">
        <f t="shared" si="23"/>
        <v>22.383894738272485</v>
      </c>
    </row>
    <row r="515" spans="1:21" hidden="1" x14ac:dyDescent="0.25">
      <c r="A515" t="s">
        <v>234</v>
      </c>
      <c r="B515">
        <v>13</v>
      </c>
      <c r="C515">
        <v>11</v>
      </c>
      <c r="D515">
        <v>4</v>
      </c>
      <c r="E515">
        <v>4</v>
      </c>
      <c r="F515">
        <v>22</v>
      </c>
      <c r="G515">
        <v>32</v>
      </c>
      <c r="H515" t="s">
        <v>599</v>
      </c>
      <c r="I515" t="s">
        <v>600</v>
      </c>
      <c r="J515" t="s">
        <v>561</v>
      </c>
      <c r="K515" t="s">
        <v>601</v>
      </c>
      <c r="L515">
        <v>2025</v>
      </c>
      <c r="M515" t="s">
        <v>24</v>
      </c>
      <c r="N515">
        <v>1360.8</v>
      </c>
      <c r="O515">
        <v>17.3</v>
      </c>
      <c r="P515">
        <v>21.987914744012301</v>
      </c>
      <c r="Q515">
        <v>3.0701930000000002</v>
      </c>
      <c r="R515" s="3">
        <v>33.047250432699997</v>
      </c>
      <c r="S515">
        <v>39.880945993981719</v>
      </c>
      <c r="T515" s="3">
        <f t="shared" si="22"/>
        <v>39.880945993981719</v>
      </c>
      <c r="U515">
        <f t="shared" si="23"/>
        <v>17.893031249969418</v>
      </c>
    </row>
    <row r="516" spans="1:21" hidden="1" x14ac:dyDescent="0.25">
      <c r="A516" t="s">
        <v>204</v>
      </c>
      <c r="B516">
        <v>17</v>
      </c>
      <c r="C516">
        <v>6</v>
      </c>
      <c r="D516">
        <v>3</v>
      </c>
      <c r="E516">
        <v>6</v>
      </c>
      <c r="F516">
        <v>18</v>
      </c>
      <c r="G516">
        <v>32</v>
      </c>
      <c r="H516" t="s">
        <v>610</v>
      </c>
      <c r="I516" t="s">
        <v>582</v>
      </c>
      <c r="J516" t="s">
        <v>561</v>
      </c>
      <c r="K516" t="s">
        <v>611</v>
      </c>
      <c r="L516">
        <v>2025</v>
      </c>
      <c r="M516" t="s">
        <v>24</v>
      </c>
      <c r="N516">
        <v>1383.48</v>
      </c>
      <c r="O516">
        <v>16.600000000000001</v>
      </c>
      <c r="P516">
        <v>22.5435948143265</v>
      </c>
      <c r="Q516">
        <v>3.170048</v>
      </c>
      <c r="R516" s="3">
        <v>34.122079667199998</v>
      </c>
      <c r="S516">
        <v>39.600841635383652</v>
      </c>
      <c r="T516" s="3">
        <f t="shared" si="22"/>
        <v>39.600841635383652</v>
      </c>
      <c r="U516">
        <f t="shared" si="23"/>
        <v>17.057246821057152</v>
      </c>
    </row>
    <row r="517" spans="1:21" hidden="1" x14ac:dyDescent="0.25">
      <c r="A517" t="s">
        <v>236</v>
      </c>
      <c r="B517">
        <v>21</v>
      </c>
      <c r="C517">
        <v>3</v>
      </c>
      <c r="D517">
        <v>4</v>
      </c>
      <c r="E517">
        <v>4</v>
      </c>
      <c r="F517">
        <v>22</v>
      </c>
      <c r="G517">
        <v>34</v>
      </c>
      <c r="H517" t="s">
        <v>596</v>
      </c>
      <c r="I517" t="s">
        <v>597</v>
      </c>
      <c r="J517" t="s">
        <v>561</v>
      </c>
      <c r="K517" t="s">
        <v>598</v>
      </c>
      <c r="L517">
        <v>2025</v>
      </c>
      <c r="M517" t="s">
        <v>24</v>
      </c>
      <c r="N517">
        <v>1510.49</v>
      </c>
      <c r="O517">
        <v>15.3</v>
      </c>
      <c r="P517">
        <v>24.9968623659794</v>
      </c>
      <c r="Q517">
        <v>3.5247310000000001</v>
      </c>
      <c r="R517" s="3">
        <v>37.939852010899997</v>
      </c>
      <c r="S517">
        <v>39.491770547400712</v>
      </c>
      <c r="T517" s="3">
        <f t="shared" si="22"/>
        <v>39.491770547400712</v>
      </c>
      <c r="U517">
        <f t="shared" si="23"/>
        <v>14.494908181421312</v>
      </c>
    </row>
    <row r="518" spans="1:21" hidden="1" x14ac:dyDescent="0.25">
      <c r="A518" t="s">
        <v>68</v>
      </c>
      <c r="B518">
        <v>19</v>
      </c>
      <c r="C518">
        <v>11</v>
      </c>
      <c r="D518">
        <v>1</v>
      </c>
      <c r="E518">
        <v>5</v>
      </c>
      <c r="F518">
        <v>5</v>
      </c>
      <c r="G518">
        <v>33</v>
      </c>
      <c r="H518" t="s">
        <v>599</v>
      </c>
      <c r="I518" t="s">
        <v>600</v>
      </c>
      <c r="J518" t="s">
        <v>561</v>
      </c>
      <c r="K518" t="s">
        <v>601</v>
      </c>
      <c r="L518">
        <v>2025</v>
      </c>
      <c r="M518" t="s">
        <v>24</v>
      </c>
      <c r="N518">
        <v>1347.19</v>
      </c>
      <c r="O518">
        <v>16.3</v>
      </c>
      <c r="P518">
        <v>22.031219765061199</v>
      </c>
      <c r="Q518">
        <v>3.1441699999999999</v>
      </c>
      <c r="R518" s="3">
        <v>33.843531462999998</v>
      </c>
      <c r="S518">
        <v>39.019311981714573</v>
      </c>
      <c r="T518" s="3">
        <f t="shared" si="22"/>
        <v>39.019311981714573</v>
      </c>
      <c r="U518">
        <f t="shared" si="23"/>
        <v>16.988092216653374</v>
      </c>
    </row>
    <row r="519" spans="1:21" hidden="1" x14ac:dyDescent="0.25">
      <c r="A519" t="s">
        <v>239</v>
      </c>
      <c r="B519">
        <v>22</v>
      </c>
      <c r="C519">
        <v>1</v>
      </c>
      <c r="D519">
        <v>4</v>
      </c>
      <c r="E519">
        <v>6</v>
      </c>
      <c r="F519">
        <v>24</v>
      </c>
      <c r="G519">
        <v>32</v>
      </c>
      <c r="H519" t="s">
        <v>590</v>
      </c>
      <c r="I519" t="s">
        <v>591</v>
      </c>
      <c r="J519" t="s">
        <v>561</v>
      </c>
      <c r="K519" t="s">
        <v>592</v>
      </c>
      <c r="L519">
        <v>2025</v>
      </c>
      <c r="M519" t="s">
        <v>24</v>
      </c>
      <c r="N519">
        <v>1710.07</v>
      </c>
      <c r="O519">
        <v>16.3</v>
      </c>
      <c r="P519">
        <v>27.965563865259</v>
      </c>
      <c r="Q519">
        <v>4.060816</v>
      </c>
      <c r="R519" s="3">
        <v>43.7102173424</v>
      </c>
      <c r="S519">
        <v>38.349292225038042</v>
      </c>
      <c r="T519" s="3">
        <f t="shared" si="22"/>
        <v>38.349292225038042</v>
      </c>
      <c r="U519">
        <f t="shared" si="23"/>
        <v>10.383728359779042</v>
      </c>
    </row>
    <row r="520" spans="1:21" hidden="1" x14ac:dyDescent="0.25">
      <c r="A520" t="s">
        <v>305</v>
      </c>
      <c r="B520">
        <v>21</v>
      </c>
      <c r="C520">
        <v>18</v>
      </c>
      <c r="D520">
        <v>1</v>
      </c>
      <c r="E520">
        <v>6</v>
      </c>
      <c r="F520">
        <v>6</v>
      </c>
      <c r="G520">
        <v>32</v>
      </c>
      <c r="H520" t="s">
        <v>605</v>
      </c>
      <c r="I520" t="s">
        <v>606</v>
      </c>
      <c r="J520" t="s">
        <v>561</v>
      </c>
      <c r="K520" t="s">
        <v>577</v>
      </c>
      <c r="L520">
        <v>2025</v>
      </c>
      <c r="M520" t="s">
        <v>24</v>
      </c>
      <c r="N520">
        <v>1179.3599999999999</v>
      </c>
      <c r="O520">
        <v>15.6</v>
      </c>
      <c r="P520">
        <v>19.447916208891801</v>
      </c>
      <c r="Q520">
        <v>2.856001</v>
      </c>
      <c r="R520" s="3">
        <v>30.741709163900001</v>
      </c>
      <c r="S520">
        <v>37.919430287560814</v>
      </c>
      <c r="T520" s="3">
        <f t="shared" si="22"/>
        <v>37.919430287560814</v>
      </c>
      <c r="U520">
        <f t="shared" si="23"/>
        <v>18.471514078669014</v>
      </c>
    </row>
    <row r="521" spans="1:21" hidden="1" x14ac:dyDescent="0.25">
      <c r="A521" t="s">
        <v>240</v>
      </c>
      <c r="B521">
        <v>10</v>
      </c>
      <c r="C521">
        <v>9</v>
      </c>
      <c r="D521">
        <v>4</v>
      </c>
      <c r="E521">
        <v>6</v>
      </c>
      <c r="F521">
        <v>24</v>
      </c>
      <c r="G521">
        <v>33</v>
      </c>
      <c r="H521" t="s">
        <v>593</v>
      </c>
      <c r="I521" t="s">
        <v>594</v>
      </c>
      <c r="J521" t="s">
        <v>561</v>
      </c>
      <c r="K521" t="s">
        <v>595</v>
      </c>
      <c r="L521">
        <v>2025</v>
      </c>
      <c r="M521" t="s">
        <v>24</v>
      </c>
      <c r="N521">
        <v>1546.78</v>
      </c>
      <c r="O521">
        <v>16.5</v>
      </c>
      <c r="P521">
        <v>25.234764591020198</v>
      </c>
      <c r="Q521">
        <v>1.8842840000000001</v>
      </c>
      <c r="R521" s="3">
        <v>40.282244547600001</v>
      </c>
      <c r="S521">
        <v>37.54934231131049</v>
      </c>
      <c r="T521" s="3">
        <f t="shared" si="22"/>
        <v>37.54934231131049</v>
      </c>
      <c r="U521">
        <f t="shared" si="23"/>
        <v>12.314577720290291</v>
      </c>
    </row>
    <row r="522" spans="1:21" hidden="1" x14ac:dyDescent="0.25">
      <c r="A522" t="s">
        <v>33</v>
      </c>
      <c r="B522">
        <v>14</v>
      </c>
      <c r="C522">
        <v>13</v>
      </c>
      <c r="D522">
        <v>1</v>
      </c>
      <c r="E522">
        <v>2</v>
      </c>
      <c r="F522">
        <v>2</v>
      </c>
      <c r="G522">
        <v>32</v>
      </c>
      <c r="H522" t="s">
        <v>569</v>
      </c>
      <c r="I522" t="s">
        <v>570</v>
      </c>
      <c r="J522" t="s">
        <v>561</v>
      </c>
      <c r="K522" t="s">
        <v>571</v>
      </c>
      <c r="L522">
        <v>2025</v>
      </c>
      <c r="M522" t="s">
        <v>24</v>
      </c>
      <c r="N522">
        <v>1233.79</v>
      </c>
      <c r="O522">
        <v>17.2</v>
      </c>
      <c r="P522">
        <v>19.959783069945701</v>
      </c>
      <c r="Q522">
        <v>2.9607220000000001</v>
      </c>
      <c r="R522" s="3">
        <v>31.868915535799999</v>
      </c>
      <c r="S522">
        <v>37.540951020707858</v>
      </c>
      <c r="T522" s="3">
        <f t="shared" si="22"/>
        <v>37.540951020707858</v>
      </c>
      <c r="U522">
        <f t="shared" si="23"/>
        <v>17.581167950762158</v>
      </c>
    </row>
    <row r="523" spans="1:21" hidden="1" x14ac:dyDescent="0.25">
      <c r="A523" t="s">
        <v>153</v>
      </c>
      <c r="B523">
        <v>13</v>
      </c>
      <c r="C523">
        <v>10</v>
      </c>
      <c r="D523">
        <v>2</v>
      </c>
      <c r="E523">
        <v>1</v>
      </c>
      <c r="F523">
        <v>7</v>
      </c>
      <c r="G523">
        <v>32</v>
      </c>
      <c r="H523" t="s">
        <v>572</v>
      </c>
      <c r="I523" t="s">
        <v>573</v>
      </c>
      <c r="J523" t="s">
        <v>561</v>
      </c>
      <c r="K523" t="s">
        <v>574</v>
      </c>
      <c r="L523">
        <v>2025</v>
      </c>
      <c r="M523" t="s">
        <v>24</v>
      </c>
      <c r="N523">
        <v>1120.3900000000001</v>
      </c>
      <c r="O523">
        <v>15.9</v>
      </c>
      <c r="P523">
        <v>18.409816254181699</v>
      </c>
      <c r="Q523">
        <v>2.7338990000000001</v>
      </c>
      <c r="R523" s="3">
        <v>29.427415446099999</v>
      </c>
      <c r="S523">
        <v>37.498515229678212</v>
      </c>
      <c r="T523" s="3">
        <f t="shared" si="22"/>
        <v>37.498515229678212</v>
      </c>
      <c r="U523">
        <f t="shared" si="23"/>
        <v>19.088698975496513</v>
      </c>
    </row>
    <row r="524" spans="1:21" hidden="1" x14ac:dyDescent="0.25">
      <c r="A524" t="s">
        <v>198</v>
      </c>
      <c r="B524">
        <v>13</v>
      </c>
      <c r="C524">
        <v>17</v>
      </c>
      <c r="D524">
        <v>3</v>
      </c>
      <c r="E524">
        <v>4</v>
      </c>
      <c r="F524">
        <v>16</v>
      </c>
      <c r="G524">
        <v>32</v>
      </c>
      <c r="H524" t="s">
        <v>584</v>
      </c>
      <c r="I524" t="s">
        <v>585</v>
      </c>
      <c r="J524" t="s">
        <v>561</v>
      </c>
      <c r="K524" t="s">
        <v>586</v>
      </c>
      <c r="L524">
        <v>2025</v>
      </c>
      <c r="M524" t="s">
        <v>24</v>
      </c>
      <c r="N524">
        <v>984.31</v>
      </c>
      <c r="O524">
        <v>15.1</v>
      </c>
      <c r="P524">
        <v>16.327655244288</v>
      </c>
      <c r="Q524">
        <v>2.440814</v>
      </c>
      <c r="R524" s="3">
        <v>26.272677814600002</v>
      </c>
      <c r="S524">
        <v>37.250852853634981</v>
      </c>
      <c r="T524" s="3">
        <f t="shared" si="22"/>
        <v>37.250852853634981</v>
      </c>
      <c r="U524">
        <f t="shared" si="23"/>
        <v>20.923197609346982</v>
      </c>
    </row>
    <row r="525" spans="1:21" hidden="1" x14ac:dyDescent="0.25">
      <c r="A525" t="s">
        <v>536</v>
      </c>
      <c r="B525">
        <v>6</v>
      </c>
      <c r="C525">
        <v>14</v>
      </c>
      <c r="D525">
        <v>4</v>
      </c>
      <c r="E525">
        <v>5</v>
      </c>
      <c r="F525">
        <v>23</v>
      </c>
      <c r="G525">
        <v>34</v>
      </c>
      <c r="H525" t="s">
        <v>575</v>
      </c>
      <c r="I525" t="s">
        <v>576</v>
      </c>
      <c r="J525" t="s">
        <v>561</v>
      </c>
      <c r="K525" t="s">
        <v>577</v>
      </c>
      <c r="L525">
        <v>2025</v>
      </c>
      <c r="M525" t="s">
        <v>24</v>
      </c>
      <c r="N525">
        <v>1333.58</v>
      </c>
      <c r="O525">
        <v>16</v>
      </c>
      <c r="P525">
        <v>21.886816355651</v>
      </c>
      <c r="Q525">
        <v>1.413888</v>
      </c>
      <c r="R525" s="3">
        <v>35.218949043199999</v>
      </c>
      <c r="S525">
        <v>37.249713804592403</v>
      </c>
      <c r="T525" s="3">
        <f t="shared" si="22"/>
        <v>37.249713804592403</v>
      </c>
      <c r="U525">
        <f t="shared" si="23"/>
        <v>15.362897448941403</v>
      </c>
    </row>
    <row r="526" spans="1:21" hidden="1" x14ac:dyDescent="0.25">
      <c r="A526" t="s">
        <v>170</v>
      </c>
      <c r="B526">
        <v>20</v>
      </c>
      <c r="C526">
        <v>11</v>
      </c>
      <c r="D526">
        <v>2</v>
      </c>
      <c r="E526">
        <v>6</v>
      </c>
      <c r="F526">
        <v>12</v>
      </c>
      <c r="G526">
        <v>32</v>
      </c>
      <c r="H526" t="s">
        <v>599</v>
      </c>
      <c r="I526" t="s">
        <v>600</v>
      </c>
      <c r="J526" t="s">
        <v>561</v>
      </c>
      <c r="K526" t="s">
        <v>601</v>
      </c>
      <c r="L526">
        <v>2025</v>
      </c>
      <c r="M526" t="s">
        <v>24</v>
      </c>
      <c r="N526">
        <v>1551.31</v>
      </c>
      <c r="O526">
        <v>16.2</v>
      </c>
      <c r="P526">
        <v>25.3995981043632</v>
      </c>
      <c r="Q526">
        <v>3.8385020000000001</v>
      </c>
      <c r="R526" s="3">
        <v>41.317251677800002</v>
      </c>
      <c r="S526">
        <v>36.847850439034758</v>
      </c>
      <c r="T526" s="3">
        <f t="shared" si="22"/>
        <v>36.847850439034758</v>
      </c>
      <c r="U526">
        <f t="shared" si="23"/>
        <v>11.448252334671558</v>
      </c>
    </row>
    <row r="527" spans="1:21" hidden="1" x14ac:dyDescent="0.25">
      <c r="A527" t="s">
        <v>164</v>
      </c>
      <c r="B527">
        <v>26</v>
      </c>
      <c r="C527">
        <v>9</v>
      </c>
      <c r="D527">
        <v>2</v>
      </c>
      <c r="E527">
        <v>4</v>
      </c>
      <c r="F527">
        <v>10</v>
      </c>
      <c r="G527">
        <v>34</v>
      </c>
      <c r="H527" t="s">
        <v>593</v>
      </c>
      <c r="I527" t="s">
        <v>594</v>
      </c>
      <c r="J527" t="s">
        <v>561</v>
      </c>
      <c r="K527" t="s">
        <v>595</v>
      </c>
      <c r="L527">
        <v>2025</v>
      </c>
      <c r="M527" t="s">
        <v>24</v>
      </c>
      <c r="N527">
        <v>1818.94</v>
      </c>
      <c r="O527">
        <v>16</v>
      </c>
      <c r="P527">
        <v>29.852581578868801</v>
      </c>
      <c r="Q527">
        <v>4.6055250000000001</v>
      </c>
      <c r="R527" s="3">
        <v>49.573410547500004</v>
      </c>
      <c r="S527">
        <v>36.095231699317416</v>
      </c>
      <c r="T527" s="3">
        <f t="shared" si="22"/>
        <v>36.095231699317416</v>
      </c>
      <c r="U527">
        <f t="shared" si="23"/>
        <v>6.2426501204486158</v>
      </c>
    </row>
    <row r="528" spans="1:21" hidden="1" x14ac:dyDescent="0.25">
      <c r="A528" t="s">
        <v>157</v>
      </c>
      <c r="B528">
        <v>26</v>
      </c>
      <c r="C528">
        <v>2</v>
      </c>
      <c r="D528">
        <v>2</v>
      </c>
      <c r="E528">
        <v>2</v>
      </c>
      <c r="F528">
        <v>8</v>
      </c>
      <c r="G528">
        <v>33</v>
      </c>
      <c r="H528" t="s">
        <v>566</v>
      </c>
      <c r="I528" t="s">
        <v>567</v>
      </c>
      <c r="J528" t="s">
        <v>561</v>
      </c>
      <c r="K528" t="s">
        <v>568</v>
      </c>
      <c r="L528">
        <v>2025</v>
      </c>
      <c r="M528" t="s">
        <v>24</v>
      </c>
      <c r="N528">
        <v>1596.67</v>
      </c>
      <c r="O528">
        <v>15.8</v>
      </c>
      <c r="P528">
        <v>26.267061509179801</v>
      </c>
      <c r="Q528">
        <v>4.1054950000000003</v>
      </c>
      <c r="R528" s="3">
        <v>44.191137630500002</v>
      </c>
      <c r="S528">
        <v>35.628131595634279</v>
      </c>
      <c r="T528" s="3">
        <f t="shared" si="22"/>
        <v>35.628131595634279</v>
      </c>
      <c r="U528">
        <f t="shared" si="23"/>
        <v>9.3610700864544789</v>
      </c>
    </row>
    <row r="529" spans="1:21" hidden="1" x14ac:dyDescent="0.25">
      <c r="A529" t="s">
        <v>156</v>
      </c>
      <c r="B529">
        <v>8</v>
      </c>
      <c r="C529">
        <v>17</v>
      </c>
      <c r="D529">
        <v>2</v>
      </c>
      <c r="E529">
        <v>2</v>
      </c>
      <c r="F529">
        <v>8</v>
      </c>
      <c r="G529">
        <v>32</v>
      </c>
      <c r="H529" t="s">
        <v>584</v>
      </c>
      <c r="I529" t="s">
        <v>585</v>
      </c>
      <c r="J529" t="s">
        <v>561</v>
      </c>
      <c r="K529" t="s">
        <v>586</v>
      </c>
      <c r="L529">
        <v>2025</v>
      </c>
      <c r="M529" t="s">
        <v>24</v>
      </c>
      <c r="N529">
        <v>1120.3900000000001</v>
      </c>
      <c r="O529">
        <v>15.9</v>
      </c>
      <c r="P529">
        <v>18.409816254181699</v>
      </c>
      <c r="Q529">
        <v>1.9768779999999999</v>
      </c>
      <c r="R529" s="3">
        <v>39.278917104199998</v>
      </c>
      <c r="S529">
        <v>28.093554192145888</v>
      </c>
      <c r="T529" s="3">
        <f t="shared" si="22"/>
        <v>28.093554192145888</v>
      </c>
      <c r="U529">
        <f t="shared" si="23"/>
        <v>9.6837379379641888</v>
      </c>
    </row>
    <row r="530" spans="1:21" hidden="1" x14ac:dyDescent="0.25">
      <c r="A530" t="s">
        <v>155</v>
      </c>
      <c r="B530">
        <v>16</v>
      </c>
      <c r="C530">
        <v>15</v>
      </c>
      <c r="D530">
        <v>2</v>
      </c>
      <c r="E530">
        <v>1</v>
      </c>
      <c r="F530">
        <v>7</v>
      </c>
      <c r="G530">
        <v>34</v>
      </c>
      <c r="H530" t="s">
        <v>578</v>
      </c>
      <c r="I530" t="s">
        <v>579</v>
      </c>
      <c r="J530" t="s">
        <v>561</v>
      </c>
      <c r="K530" t="s">
        <v>580</v>
      </c>
      <c r="L530">
        <v>2025</v>
      </c>
      <c r="M530" t="s">
        <v>24</v>
      </c>
      <c r="N530">
        <v>1279.1500000000001</v>
      </c>
      <c r="O530">
        <v>15.5</v>
      </c>
      <c r="P530">
        <v>21.118468408723601</v>
      </c>
      <c r="Q530">
        <v>3.3401049999999999</v>
      </c>
      <c r="R530" s="3">
        <v>35.952556209500003</v>
      </c>
      <c r="S530">
        <v>35.208650785292718</v>
      </c>
      <c r="T530" s="3">
        <f t="shared" si="22"/>
        <v>35.208650785292718</v>
      </c>
      <c r="U530">
        <f t="shared" si="23"/>
        <v>14.090182376569118</v>
      </c>
    </row>
    <row r="531" spans="1:21" hidden="1" x14ac:dyDescent="0.25">
      <c r="A531" t="s">
        <v>154</v>
      </c>
      <c r="B531">
        <v>9</v>
      </c>
      <c r="C531">
        <v>4</v>
      </c>
      <c r="D531">
        <v>2</v>
      </c>
      <c r="E531">
        <v>1</v>
      </c>
      <c r="F531">
        <v>7</v>
      </c>
      <c r="G531">
        <v>33</v>
      </c>
      <c r="H531" t="s">
        <v>563</v>
      </c>
      <c r="I531" t="s">
        <v>564</v>
      </c>
      <c r="J531" t="s">
        <v>561</v>
      </c>
      <c r="K531" t="s">
        <v>565</v>
      </c>
      <c r="L531">
        <v>2025</v>
      </c>
      <c r="M531" t="s">
        <v>24</v>
      </c>
      <c r="N531">
        <v>1229.26</v>
      </c>
      <c r="O531">
        <v>17.899999999999999</v>
      </c>
      <c r="P531">
        <v>19.718375889762498</v>
      </c>
      <c r="Q531">
        <v>2.2772480000000002</v>
      </c>
      <c r="R531" s="3">
        <v>34.512069747200002</v>
      </c>
      <c r="S531">
        <v>34.246553727142242</v>
      </c>
      <c r="T531" s="3">
        <f t="shared" si="22"/>
        <v>34.246553727142242</v>
      </c>
      <c r="U531">
        <f t="shared" si="23"/>
        <v>14.528177837379744</v>
      </c>
    </row>
    <row r="532" spans="1:21" hidden="1" x14ac:dyDescent="0.25">
      <c r="A532" t="s">
        <v>45</v>
      </c>
      <c r="B532">
        <v>24</v>
      </c>
      <c r="C532">
        <v>15</v>
      </c>
      <c r="D532">
        <v>1</v>
      </c>
      <c r="E532">
        <v>3</v>
      </c>
      <c r="F532">
        <v>3</v>
      </c>
      <c r="G532">
        <v>32</v>
      </c>
      <c r="H532" t="s">
        <v>578</v>
      </c>
      <c r="I532" t="s">
        <v>579</v>
      </c>
      <c r="J532" t="s">
        <v>561</v>
      </c>
      <c r="K532" t="s">
        <v>580</v>
      </c>
      <c r="L532">
        <v>2025</v>
      </c>
      <c r="M532" t="s">
        <v>24</v>
      </c>
      <c r="N532">
        <v>1592.14</v>
      </c>
      <c r="O532">
        <v>16.100000000000001</v>
      </c>
      <c r="P532">
        <v>26.099215207593701</v>
      </c>
      <c r="Q532">
        <v>4.2685760000000004</v>
      </c>
      <c r="R532" s="3">
        <v>45.946525206399997</v>
      </c>
      <c r="S532">
        <v>34.047992802843339</v>
      </c>
      <c r="T532" s="3">
        <f t="shared" si="22"/>
        <v>34.047992802843339</v>
      </c>
      <c r="U532">
        <f t="shared" si="23"/>
        <v>7.9487775952496378</v>
      </c>
    </row>
    <row r="533" spans="1:21" hidden="1" x14ac:dyDescent="0.25">
      <c r="A533" t="s">
        <v>195</v>
      </c>
      <c r="B533">
        <v>14</v>
      </c>
      <c r="C533">
        <v>14</v>
      </c>
      <c r="D533">
        <v>3</v>
      </c>
      <c r="E533">
        <v>3</v>
      </c>
      <c r="F533">
        <v>15</v>
      </c>
      <c r="G533">
        <v>32</v>
      </c>
      <c r="H533" t="s">
        <v>575</v>
      </c>
      <c r="I533" t="s">
        <v>576</v>
      </c>
      <c r="J533" t="s">
        <v>561</v>
      </c>
      <c r="K533" t="s">
        <v>577</v>
      </c>
      <c r="L533">
        <v>2025</v>
      </c>
      <c r="M533" t="s">
        <v>24</v>
      </c>
      <c r="N533">
        <v>1088.6400000000001</v>
      </c>
      <c r="O533">
        <v>16.7</v>
      </c>
      <c r="P533">
        <v>17.717952098439898</v>
      </c>
      <c r="Q533">
        <v>2.8999809999999999</v>
      </c>
      <c r="R533" s="3">
        <v>31.215105485900001</v>
      </c>
      <c r="S533">
        <v>34.022439849200708</v>
      </c>
      <c r="T533" s="3">
        <f t="shared" si="22"/>
        <v>34.022439849200708</v>
      </c>
      <c r="U533">
        <f t="shared" si="23"/>
        <v>16.30448775076081</v>
      </c>
    </row>
    <row r="534" spans="1:21" hidden="1" x14ac:dyDescent="0.25">
      <c r="A534" t="s">
        <v>193</v>
      </c>
      <c r="B534">
        <v>34</v>
      </c>
      <c r="C534">
        <v>13</v>
      </c>
      <c r="D534">
        <v>3</v>
      </c>
      <c r="E534">
        <v>2</v>
      </c>
      <c r="F534">
        <v>14</v>
      </c>
      <c r="G534">
        <v>32</v>
      </c>
      <c r="H534" t="s">
        <v>569</v>
      </c>
      <c r="I534" t="s">
        <v>570</v>
      </c>
      <c r="J534" t="s">
        <v>561</v>
      </c>
      <c r="K534" t="s">
        <v>571</v>
      </c>
      <c r="L534">
        <v>2025</v>
      </c>
      <c r="M534" t="s">
        <v>24</v>
      </c>
      <c r="N534">
        <v>1619.35</v>
      </c>
      <c r="O534">
        <v>16.899999999999999</v>
      </c>
      <c r="P534">
        <v>26.292142873613098</v>
      </c>
      <c r="Q534">
        <v>4.3825329999999996</v>
      </c>
      <c r="R534" s="3">
        <v>47.173146958699988</v>
      </c>
      <c r="S534">
        <v>33.407799679425864</v>
      </c>
      <c r="T534" s="3">
        <f t="shared" si="22"/>
        <v>33.407799679425864</v>
      </c>
      <c r="U534">
        <f t="shared" si="23"/>
        <v>7.1156568058127654</v>
      </c>
    </row>
    <row r="535" spans="1:21" hidden="1" x14ac:dyDescent="0.25">
      <c r="A535" t="s">
        <v>226</v>
      </c>
      <c r="B535">
        <v>20</v>
      </c>
      <c r="C535">
        <v>12</v>
      </c>
      <c r="D535">
        <v>4</v>
      </c>
      <c r="E535">
        <v>1</v>
      </c>
      <c r="F535">
        <v>19</v>
      </c>
      <c r="G535">
        <v>33</v>
      </c>
      <c r="H535" t="s">
        <v>607</v>
      </c>
      <c r="I535" t="s">
        <v>608</v>
      </c>
      <c r="J535" t="s">
        <v>561</v>
      </c>
      <c r="K535" t="s">
        <v>609</v>
      </c>
      <c r="L535">
        <v>2025</v>
      </c>
      <c r="M535" t="s">
        <v>24</v>
      </c>
      <c r="N535">
        <v>1383.48</v>
      </c>
      <c r="O535">
        <v>16.2</v>
      </c>
      <c r="P535">
        <v>22.651717571229799</v>
      </c>
      <c r="Q535">
        <v>3.8192409999999999</v>
      </c>
      <c r="R535" s="3">
        <v>41.109928199899997</v>
      </c>
      <c r="S535">
        <v>33.02715452621041</v>
      </c>
      <c r="T535" s="3">
        <f t="shared" si="22"/>
        <v>33.02715452621041</v>
      </c>
      <c r="U535">
        <f t="shared" si="23"/>
        <v>10.375436954980611</v>
      </c>
    </row>
    <row r="536" spans="1:21" hidden="1" x14ac:dyDescent="0.25">
      <c r="A536" t="s">
        <v>230</v>
      </c>
      <c r="B536">
        <v>20</v>
      </c>
      <c r="C536">
        <v>15</v>
      </c>
      <c r="D536">
        <v>4</v>
      </c>
      <c r="E536">
        <v>2</v>
      </c>
      <c r="F536">
        <v>20</v>
      </c>
      <c r="G536">
        <v>34</v>
      </c>
      <c r="H536" t="s">
        <v>578</v>
      </c>
      <c r="I536" t="s">
        <v>579</v>
      </c>
      <c r="J536" t="s">
        <v>561</v>
      </c>
      <c r="K536" t="s">
        <v>580</v>
      </c>
      <c r="L536">
        <v>2025</v>
      </c>
      <c r="M536" t="s">
        <v>24</v>
      </c>
      <c r="N536">
        <v>1283.69</v>
      </c>
      <c r="O536">
        <v>14.8</v>
      </c>
      <c r="P536">
        <v>21.368989566414999</v>
      </c>
      <c r="Q536">
        <v>3.6383019999999999</v>
      </c>
      <c r="R536" s="3">
        <v>39.162318897799999</v>
      </c>
      <c r="S536">
        <v>32.706368536385924</v>
      </c>
      <c r="T536" s="3">
        <f t="shared" si="22"/>
        <v>32.706368536385924</v>
      </c>
      <c r="U536">
        <f t="shared" si="23"/>
        <v>11.337378969970924</v>
      </c>
    </row>
    <row r="537" spans="1:21" hidden="1" x14ac:dyDescent="0.25">
      <c r="A537" t="s">
        <v>76</v>
      </c>
      <c r="B537">
        <v>21</v>
      </c>
      <c r="C537">
        <v>12</v>
      </c>
      <c r="D537">
        <v>1</v>
      </c>
      <c r="E537">
        <v>6</v>
      </c>
      <c r="F537">
        <v>6</v>
      </c>
      <c r="G537">
        <v>33</v>
      </c>
      <c r="H537" t="s">
        <v>607</v>
      </c>
      <c r="I537" t="s">
        <v>608</v>
      </c>
      <c r="J537" t="s">
        <v>561</v>
      </c>
      <c r="K537" t="s">
        <v>609</v>
      </c>
      <c r="L537">
        <v>2025</v>
      </c>
      <c r="M537" t="s">
        <v>24</v>
      </c>
      <c r="N537">
        <v>1256.47</v>
      </c>
      <c r="O537">
        <v>15.7</v>
      </c>
      <c r="P537">
        <v>20.694928605531601</v>
      </c>
      <c r="Q537">
        <v>3.53938</v>
      </c>
      <c r="R537" s="3">
        <v>38.097532381999997</v>
      </c>
      <c r="S537">
        <v>32.55995711684578</v>
      </c>
      <c r="T537" s="3">
        <f t="shared" si="22"/>
        <v>32.55995711684578</v>
      </c>
      <c r="U537">
        <f t="shared" si="23"/>
        <v>11.865028511314179</v>
      </c>
    </row>
    <row r="538" spans="1:21" hidden="1" x14ac:dyDescent="0.25">
      <c r="A538" t="s">
        <v>165</v>
      </c>
      <c r="B538">
        <v>26</v>
      </c>
      <c r="C538">
        <v>18</v>
      </c>
      <c r="D538">
        <v>2</v>
      </c>
      <c r="E538">
        <v>5</v>
      </c>
      <c r="F538">
        <v>11</v>
      </c>
      <c r="G538">
        <v>32</v>
      </c>
      <c r="H538" t="s">
        <v>605</v>
      </c>
      <c r="I538" t="s">
        <v>606</v>
      </c>
      <c r="J538" t="s">
        <v>561</v>
      </c>
      <c r="K538" t="s">
        <v>577</v>
      </c>
      <c r="L538">
        <v>2025</v>
      </c>
      <c r="M538" t="s">
        <v>24</v>
      </c>
      <c r="N538">
        <v>1456.06</v>
      </c>
      <c r="O538">
        <v>14.7</v>
      </c>
      <c r="P538">
        <v>24.266801447853801</v>
      </c>
      <c r="Q538">
        <v>4.205203</v>
      </c>
      <c r="R538" s="3">
        <v>45.264384571699999</v>
      </c>
      <c r="S538">
        <v>32.134582023982006</v>
      </c>
      <c r="T538" s="3">
        <f t="shared" si="22"/>
        <v>32.134582023982006</v>
      </c>
      <c r="U538">
        <f t="shared" si="23"/>
        <v>7.8677805761282045</v>
      </c>
    </row>
    <row r="539" spans="1:21" hidden="1" x14ac:dyDescent="0.25">
      <c r="A539" t="s">
        <v>228</v>
      </c>
      <c r="B539">
        <v>19</v>
      </c>
      <c r="C539">
        <v>5</v>
      </c>
      <c r="D539">
        <v>4</v>
      </c>
      <c r="E539">
        <v>2</v>
      </c>
      <c r="F539">
        <v>20</v>
      </c>
      <c r="G539">
        <v>32</v>
      </c>
      <c r="H539" t="s">
        <v>581</v>
      </c>
      <c r="I539" t="s">
        <v>582</v>
      </c>
      <c r="J539" t="s">
        <v>561</v>
      </c>
      <c r="K539" t="s">
        <v>583</v>
      </c>
      <c r="L539">
        <v>2025</v>
      </c>
      <c r="M539" t="s">
        <v>24</v>
      </c>
      <c r="N539">
        <v>1356.26</v>
      </c>
      <c r="O539">
        <v>15.5</v>
      </c>
      <c r="P539">
        <v>22.3915365391201</v>
      </c>
      <c r="Q539">
        <v>3.8889670000000001</v>
      </c>
      <c r="R539" s="3">
        <v>41.860451891300002</v>
      </c>
      <c r="S539">
        <v>32.062451299858083</v>
      </c>
      <c r="T539" s="3">
        <f t="shared" si="22"/>
        <v>32.062451299858083</v>
      </c>
      <c r="U539">
        <f t="shared" si="23"/>
        <v>9.6709147607379826</v>
      </c>
    </row>
    <row r="540" spans="1:21" hidden="1" x14ac:dyDescent="0.25">
      <c r="A540" t="s">
        <v>200</v>
      </c>
      <c r="B540">
        <v>23</v>
      </c>
      <c r="C540">
        <v>3</v>
      </c>
      <c r="D540">
        <v>3</v>
      </c>
      <c r="E540">
        <v>4</v>
      </c>
      <c r="F540">
        <v>16</v>
      </c>
      <c r="G540">
        <v>34</v>
      </c>
      <c r="H540" t="s">
        <v>596</v>
      </c>
      <c r="I540" t="s">
        <v>597</v>
      </c>
      <c r="J540" t="s">
        <v>561</v>
      </c>
      <c r="K540" t="s">
        <v>598</v>
      </c>
      <c r="L540">
        <v>2025</v>
      </c>
      <c r="M540" t="s">
        <v>24</v>
      </c>
      <c r="N540">
        <v>1306.3699999999999</v>
      </c>
      <c r="O540">
        <v>15.6</v>
      </c>
      <c r="P540">
        <v>21.542340165691598</v>
      </c>
      <c r="Q540">
        <v>4.0255770000000002</v>
      </c>
      <c r="R540" s="3">
        <v>43.3309082703</v>
      </c>
      <c r="S540">
        <v>29.799695438569955</v>
      </c>
      <c r="T540" s="3">
        <f t="shared" si="22"/>
        <v>29.799695438569955</v>
      </c>
      <c r="U540">
        <f t="shared" si="23"/>
        <v>8.2573552728783568</v>
      </c>
    </row>
    <row r="541" spans="1:21" hidden="1" x14ac:dyDescent="0.25">
      <c r="A541" t="s">
        <v>166</v>
      </c>
      <c r="B541">
        <v>38</v>
      </c>
      <c r="C541">
        <v>13</v>
      </c>
      <c r="D541">
        <v>2</v>
      </c>
      <c r="E541">
        <v>5</v>
      </c>
      <c r="F541">
        <v>11</v>
      </c>
      <c r="G541">
        <v>33</v>
      </c>
      <c r="H541" t="s">
        <v>569</v>
      </c>
      <c r="I541" t="s">
        <v>570</v>
      </c>
      <c r="J541" t="s">
        <v>561</v>
      </c>
      <c r="K541" t="s">
        <v>571</v>
      </c>
      <c r="L541">
        <v>2025</v>
      </c>
      <c r="M541" t="s">
        <v>24</v>
      </c>
      <c r="N541">
        <v>1623.89</v>
      </c>
      <c r="O541">
        <v>16.899999999999999</v>
      </c>
      <c r="P541">
        <v>26.365855368531498</v>
      </c>
      <c r="Q541">
        <v>4.9737429999999998</v>
      </c>
      <c r="R541" s="3">
        <v>53.536872277699999</v>
      </c>
      <c r="S541">
        <v>29.519269683747648</v>
      </c>
      <c r="T541" s="3">
        <f t="shared" si="22"/>
        <v>29.519269683747648</v>
      </c>
      <c r="U541">
        <f t="shared" si="23"/>
        <v>3.1534143152161498</v>
      </c>
    </row>
    <row r="542" spans="1:21" hidden="1" x14ac:dyDescent="0.25">
      <c r="A542" t="s">
        <v>232</v>
      </c>
      <c r="B542">
        <v>25</v>
      </c>
      <c r="C542">
        <v>2</v>
      </c>
      <c r="D542">
        <v>4</v>
      </c>
      <c r="E542">
        <v>3</v>
      </c>
      <c r="F542">
        <v>21</v>
      </c>
      <c r="G542">
        <v>33</v>
      </c>
      <c r="H542" t="s">
        <v>566</v>
      </c>
      <c r="I542" t="s">
        <v>567</v>
      </c>
      <c r="J542" t="s">
        <v>561</v>
      </c>
      <c r="K542" t="s">
        <v>568</v>
      </c>
      <c r="L542">
        <v>2025</v>
      </c>
      <c r="M542" t="s">
        <v>24</v>
      </c>
      <c r="N542">
        <v>1465.13</v>
      </c>
      <c r="O542">
        <v>16.600000000000001</v>
      </c>
      <c r="P542">
        <v>23.874069065193702</v>
      </c>
      <c r="Q542">
        <v>4.5466709999999999</v>
      </c>
      <c r="R542" s="3">
        <v>48.9399119769</v>
      </c>
      <c r="S542">
        <v>29.240177228826241</v>
      </c>
      <c r="T542" s="3">
        <f t="shared" si="22"/>
        <v>29.240177228826241</v>
      </c>
      <c r="U542">
        <f t="shared" si="23"/>
        <v>5.3661081636325392</v>
      </c>
    </row>
    <row r="543" spans="1:21" hidden="1" x14ac:dyDescent="0.25">
      <c r="A543" t="s">
        <v>227</v>
      </c>
      <c r="B543">
        <v>18</v>
      </c>
      <c r="C543">
        <v>18</v>
      </c>
      <c r="D543">
        <v>4</v>
      </c>
      <c r="E543">
        <v>1</v>
      </c>
      <c r="F543">
        <v>19</v>
      </c>
      <c r="G543">
        <v>34</v>
      </c>
      <c r="H543" t="s">
        <v>605</v>
      </c>
      <c r="I543" t="s">
        <v>606</v>
      </c>
      <c r="J543" t="s">
        <v>561</v>
      </c>
      <c r="K543" t="s">
        <v>577</v>
      </c>
      <c r="L543">
        <v>2025</v>
      </c>
      <c r="M543" t="s">
        <v>24</v>
      </c>
      <c r="N543">
        <v>979.78</v>
      </c>
      <c r="O543">
        <v>15.6</v>
      </c>
      <c r="P543">
        <v>16.156796349840601</v>
      </c>
      <c r="Q543">
        <v>3.143122</v>
      </c>
      <c r="R543" s="3">
        <v>29.832250895800001</v>
      </c>
      <c r="S543">
        <v>32.462799290340847</v>
      </c>
      <c r="T543" s="3">
        <f t="shared" si="22"/>
        <v>32.462799290340847</v>
      </c>
      <c r="U543">
        <f t="shared" si="23"/>
        <v>16.306002940500246</v>
      </c>
    </row>
    <row r="544" spans="1:21" hidden="1" x14ac:dyDescent="0.25">
      <c r="A544" t="s">
        <v>202</v>
      </c>
      <c r="B544">
        <v>19</v>
      </c>
      <c r="C544">
        <v>4</v>
      </c>
      <c r="D544">
        <v>3</v>
      </c>
      <c r="E544">
        <v>5</v>
      </c>
      <c r="F544">
        <v>17</v>
      </c>
      <c r="G544">
        <v>33</v>
      </c>
      <c r="H544" t="s">
        <v>563</v>
      </c>
      <c r="I544" t="s">
        <v>564</v>
      </c>
      <c r="J544" t="s">
        <v>561</v>
      </c>
      <c r="K544" t="s">
        <v>565</v>
      </c>
      <c r="L544">
        <v>2025</v>
      </c>
      <c r="M544" t="s">
        <v>24</v>
      </c>
      <c r="N544">
        <v>1093.18</v>
      </c>
      <c r="O544">
        <v>17.2</v>
      </c>
      <c r="P544">
        <v>17.685048230576701</v>
      </c>
      <c r="Q544">
        <v>3.5829930000000001</v>
      </c>
      <c r="R544" s="3">
        <v>38.566978352699998</v>
      </c>
      <c r="S544">
        <v>27.485736145739693</v>
      </c>
      <c r="T544" s="3">
        <f t="shared" si="22"/>
        <v>27.485736145739693</v>
      </c>
      <c r="U544">
        <f t="shared" si="23"/>
        <v>9.8006879151629924</v>
      </c>
    </row>
    <row r="545" spans="1:21" hidden="1" x14ac:dyDescent="0.25">
      <c r="A545" t="s">
        <v>206</v>
      </c>
      <c r="B545">
        <v>31</v>
      </c>
      <c r="C545">
        <v>11</v>
      </c>
      <c r="D545">
        <v>3</v>
      </c>
      <c r="E545">
        <v>6</v>
      </c>
      <c r="F545">
        <v>18</v>
      </c>
      <c r="G545">
        <v>34</v>
      </c>
      <c r="H545" t="s">
        <v>599</v>
      </c>
      <c r="I545" t="s">
        <v>600</v>
      </c>
      <c r="J545" t="s">
        <v>561</v>
      </c>
      <c r="K545" t="s">
        <v>601</v>
      </c>
      <c r="L545">
        <v>2025</v>
      </c>
      <c r="M545" t="s">
        <v>24</v>
      </c>
      <c r="N545">
        <v>1338.12</v>
      </c>
      <c r="O545">
        <v>15.8</v>
      </c>
      <c r="P545">
        <v>22.013616055079499</v>
      </c>
      <c r="Q545">
        <v>4.4821080000000002</v>
      </c>
      <c r="R545" s="3">
        <v>48.244962301199998</v>
      </c>
      <c r="S545">
        <v>27.349925948820637</v>
      </c>
      <c r="T545" s="3">
        <f t="shared" si="22"/>
        <v>27.349925948820637</v>
      </c>
      <c r="U545">
        <f t="shared" si="23"/>
        <v>5.336309893741138</v>
      </c>
    </row>
    <row r="546" spans="1:21" hidden="1" x14ac:dyDescent="0.25">
      <c r="A546" t="s">
        <v>49</v>
      </c>
      <c r="B546">
        <v>6</v>
      </c>
      <c r="C546">
        <v>17</v>
      </c>
      <c r="D546">
        <v>1</v>
      </c>
      <c r="E546">
        <v>3</v>
      </c>
      <c r="F546">
        <v>3</v>
      </c>
      <c r="G546">
        <v>34</v>
      </c>
      <c r="H546" t="s">
        <v>584</v>
      </c>
      <c r="I546" t="s">
        <v>585</v>
      </c>
      <c r="J546" t="s">
        <v>561</v>
      </c>
      <c r="K546" t="s">
        <v>586</v>
      </c>
      <c r="L546">
        <v>2025</v>
      </c>
      <c r="M546" t="s">
        <v>24</v>
      </c>
      <c r="N546">
        <v>911.74</v>
      </c>
      <c r="O546">
        <v>14.8</v>
      </c>
      <c r="P546">
        <v>15.1773111477718</v>
      </c>
      <c r="Q546">
        <v>1.3312980000000001</v>
      </c>
      <c r="R546" s="3">
        <v>34.329958542200004</v>
      </c>
      <c r="S546">
        <v>26.499537687444743</v>
      </c>
      <c r="T546" s="3">
        <f t="shared" ref="T546:T609" si="24">IF(N546&lt;= 0, -9, N546/ 453.6 / (R546/ 43560) * ((100 - O546) / (100 - 18)) / 100)</f>
        <v>26.499537687444743</v>
      </c>
      <c r="U546">
        <f t="shared" ref="U546:U609" si="25">T546-P546</f>
        <v>11.322226539672943</v>
      </c>
    </row>
    <row r="547" spans="1:21" hidden="1" x14ac:dyDescent="0.25">
      <c r="A547" t="s">
        <v>194</v>
      </c>
      <c r="B547">
        <v>33</v>
      </c>
      <c r="C547">
        <v>18</v>
      </c>
      <c r="D547">
        <v>3</v>
      </c>
      <c r="E547">
        <v>2</v>
      </c>
      <c r="F547">
        <v>14</v>
      </c>
      <c r="G547">
        <v>33</v>
      </c>
      <c r="H547" t="s">
        <v>605</v>
      </c>
      <c r="I547" t="s">
        <v>606</v>
      </c>
      <c r="J547" t="s">
        <v>561</v>
      </c>
      <c r="K547" t="s">
        <v>577</v>
      </c>
      <c r="L547">
        <v>2025</v>
      </c>
      <c r="M547" t="s">
        <v>24</v>
      </c>
      <c r="N547">
        <v>1374.41</v>
      </c>
      <c r="O547">
        <v>16.100000000000001</v>
      </c>
      <c r="P547">
        <v>22.530067942184001</v>
      </c>
      <c r="Q547">
        <v>4.8328480000000003</v>
      </c>
      <c r="R547" s="3">
        <v>52.020292587199997</v>
      </c>
      <c r="S547">
        <v>25.960105283736901</v>
      </c>
      <c r="T547" s="3">
        <f t="shared" si="24"/>
        <v>25.960105283736901</v>
      </c>
      <c r="U547">
        <f t="shared" si="25"/>
        <v>3.4300373415529002</v>
      </c>
    </row>
    <row r="548" spans="1:21" hidden="1" x14ac:dyDescent="0.25">
      <c r="A548" t="s">
        <v>241</v>
      </c>
      <c r="B548">
        <v>15</v>
      </c>
      <c r="C548">
        <v>16</v>
      </c>
      <c r="D548">
        <v>4</v>
      </c>
      <c r="E548">
        <v>6</v>
      </c>
      <c r="F548">
        <v>24</v>
      </c>
      <c r="G548">
        <v>34</v>
      </c>
      <c r="H548" t="s">
        <v>587</v>
      </c>
      <c r="I548" t="s">
        <v>588</v>
      </c>
      <c r="J548" t="s">
        <v>561</v>
      </c>
      <c r="K548" t="s">
        <v>589</v>
      </c>
      <c r="L548">
        <v>2025</v>
      </c>
      <c r="M548" t="s">
        <v>24</v>
      </c>
      <c r="N548">
        <v>1401.62</v>
      </c>
      <c r="O548">
        <v>15.4</v>
      </c>
      <c r="P548">
        <v>23.167804680406299</v>
      </c>
      <c r="Q548">
        <v>3.1257609999999998</v>
      </c>
      <c r="R548" s="3">
        <v>53.645378827899997</v>
      </c>
      <c r="S548">
        <v>25.886259783877737</v>
      </c>
      <c r="T548" s="3">
        <f t="shared" si="24"/>
        <v>25.886259783877737</v>
      </c>
      <c r="U548">
        <f t="shared" si="25"/>
        <v>2.7184551034714382</v>
      </c>
    </row>
    <row r="549" spans="1:21" hidden="1" x14ac:dyDescent="0.25">
      <c r="A549" t="s">
        <v>205</v>
      </c>
      <c r="B549">
        <v>29</v>
      </c>
      <c r="C549">
        <v>5</v>
      </c>
      <c r="D549">
        <v>3</v>
      </c>
      <c r="E549">
        <v>6</v>
      </c>
      <c r="F549">
        <v>18</v>
      </c>
      <c r="G549">
        <v>33</v>
      </c>
      <c r="H549" t="s">
        <v>581</v>
      </c>
      <c r="I549" t="s">
        <v>582</v>
      </c>
      <c r="J549" t="s">
        <v>561</v>
      </c>
      <c r="K549" t="s">
        <v>583</v>
      </c>
      <c r="L549">
        <v>2025</v>
      </c>
      <c r="M549" t="s">
        <v>24</v>
      </c>
      <c r="N549">
        <v>1347.19</v>
      </c>
      <c r="O549">
        <v>16.100000000000001</v>
      </c>
      <c r="P549">
        <v>22.0838630619909</v>
      </c>
      <c r="Q549">
        <v>4.818346</v>
      </c>
      <c r="R549" s="3">
        <v>51.864194509400001</v>
      </c>
      <c r="S549">
        <v>25.522554904343909</v>
      </c>
      <c r="T549" s="3">
        <f t="shared" si="24"/>
        <v>25.522554904343909</v>
      </c>
      <c r="U549">
        <f t="shared" si="25"/>
        <v>3.4386918423530091</v>
      </c>
    </row>
    <row r="550" spans="1:21" hidden="1" x14ac:dyDescent="0.25">
      <c r="A550" t="s">
        <v>29</v>
      </c>
      <c r="B550">
        <v>25</v>
      </c>
      <c r="C550">
        <v>2</v>
      </c>
      <c r="D550">
        <v>1</v>
      </c>
      <c r="E550">
        <v>1</v>
      </c>
      <c r="F550">
        <v>1</v>
      </c>
      <c r="G550">
        <v>34</v>
      </c>
      <c r="H550" t="s">
        <v>566</v>
      </c>
      <c r="I550" t="s">
        <v>567</v>
      </c>
      <c r="J550" t="s">
        <v>561</v>
      </c>
      <c r="K550" t="s">
        <v>568</v>
      </c>
      <c r="L550">
        <v>2025</v>
      </c>
      <c r="M550" t="s">
        <v>24</v>
      </c>
      <c r="N550">
        <v>1165.75</v>
      </c>
      <c r="O550">
        <v>15.6</v>
      </c>
      <c r="P550">
        <v>19.223484195254699</v>
      </c>
      <c r="Q550">
        <v>4.3656350000000002</v>
      </c>
      <c r="R550" s="3">
        <v>46.991258576500002</v>
      </c>
      <c r="S550">
        <v>24.520638041386796</v>
      </c>
      <c r="T550" s="3">
        <f t="shared" si="24"/>
        <v>24.520638041386796</v>
      </c>
      <c r="U550">
        <f t="shared" si="25"/>
        <v>5.2971538461320975</v>
      </c>
    </row>
    <row r="551" spans="1:21" hidden="1" x14ac:dyDescent="0.25">
      <c r="A551" t="s">
        <v>201</v>
      </c>
      <c r="B551">
        <v>40</v>
      </c>
      <c r="C551">
        <v>15</v>
      </c>
      <c r="D551">
        <v>3</v>
      </c>
      <c r="E551">
        <v>5</v>
      </c>
      <c r="F551">
        <v>17</v>
      </c>
      <c r="G551">
        <v>32</v>
      </c>
      <c r="H551" t="s">
        <v>578</v>
      </c>
      <c r="I551" t="s">
        <v>579</v>
      </c>
      <c r="J551" t="s">
        <v>561</v>
      </c>
      <c r="K551" t="s">
        <v>580</v>
      </c>
      <c r="L551">
        <v>2025</v>
      </c>
      <c r="M551" t="s">
        <v>24</v>
      </c>
      <c r="N551">
        <v>1211.1099999999999</v>
      </c>
      <c r="O551">
        <v>16.399999999999999</v>
      </c>
      <c r="P551">
        <v>19.7821778353395</v>
      </c>
      <c r="Q551">
        <v>4.4938570000000002</v>
      </c>
      <c r="R551" s="3">
        <v>48.371427362299997</v>
      </c>
      <c r="S551">
        <v>24.513308870732295</v>
      </c>
      <c r="T551" s="3">
        <f t="shared" si="24"/>
        <v>24.513308870732295</v>
      </c>
      <c r="U551">
        <f t="shared" si="25"/>
        <v>4.7311310353927958</v>
      </c>
    </row>
    <row r="552" spans="1:21" hidden="1" x14ac:dyDescent="0.25">
      <c r="A552" t="s">
        <v>199</v>
      </c>
      <c r="B552">
        <v>44</v>
      </c>
      <c r="C552">
        <v>2</v>
      </c>
      <c r="D552">
        <v>3</v>
      </c>
      <c r="E552">
        <v>4</v>
      </c>
      <c r="F552">
        <v>16</v>
      </c>
      <c r="G552">
        <v>33</v>
      </c>
      <c r="H552" t="s">
        <v>566</v>
      </c>
      <c r="I552" t="s">
        <v>567</v>
      </c>
      <c r="J552" t="s">
        <v>561</v>
      </c>
      <c r="K552" t="s">
        <v>568</v>
      </c>
      <c r="L552">
        <v>2025</v>
      </c>
      <c r="M552" t="s">
        <v>24</v>
      </c>
      <c r="N552">
        <v>1310.9</v>
      </c>
      <c r="O552">
        <v>16.3</v>
      </c>
      <c r="P552">
        <v>21.437752648118501</v>
      </c>
      <c r="Q552">
        <v>4.8953490000000004</v>
      </c>
      <c r="R552" s="3">
        <v>52.693047101099999</v>
      </c>
      <c r="S552">
        <v>24.386118556833249</v>
      </c>
      <c r="T552" s="3">
        <f t="shared" si="24"/>
        <v>24.386118556833249</v>
      </c>
      <c r="U552">
        <f t="shared" si="25"/>
        <v>2.9483659087147487</v>
      </c>
    </row>
    <row r="553" spans="1:21" hidden="1" x14ac:dyDescent="0.25">
      <c r="A553" t="s">
        <v>203</v>
      </c>
      <c r="B553">
        <v>19</v>
      </c>
      <c r="C553">
        <v>10</v>
      </c>
      <c r="D553">
        <v>3</v>
      </c>
      <c r="E553">
        <v>5</v>
      </c>
      <c r="F553">
        <v>17</v>
      </c>
      <c r="G553">
        <v>34</v>
      </c>
      <c r="H553" t="s">
        <v>572</v>
      </c>
      <c r="I553" t="s">
        <v>573</v>
      </c>
      <c r="J553" t="s">
        <v>561</v>
      </c>
      <c r="K553" t="s">
        <v>574</v>
      </c>
      <c r="L553">
        <v>2025</v>
      </c>
      <c r="M553" t="s">
        <v>24</v>
      </c>
      <c r="N553">
        <v>916.27</v>
      </c>
      <c r="O553">
        <v>15.5</v>
      </c>
      <c r="P553">
        <v>15.127404173756901</v>
      </c>
      <c r="Q553">
        <v>3.62574</v>
      </c>
      <c r="R553" s="3">
        <v>39.027102786</v>
      </c>
      <c r="S553">
        <v>23.233510597672637</v>
      </c>
      <c r="T553" s="3">
        <f t="shared" si="24"/>
        <v>23.233510597672637</v>
      </c>
      <c r="U553">
        <f t="shared" si="25"/>
        <v>8.1061064239157368</v>
      </c>
    </row>
    <row r="554" spans="1:21" hidden="1" x14ac:dyDescent="0.25">
      <c r="A554" t="s">
        <v>155</v>
      </c>
      <c r="B554">
        <v>15</v>
      </c>
      <c r="C554">
        <v>25</v>
      </c>
      <c r="D554">
        <v>2</v>
      </c>
      <c r="E554">
        <v>1</v>
      </c>
      <c r="F554">
        <v>9</v>
      </c>
      <c r="G554">
        <v>37</v>
      </c>
      <c r="H554" t="s">
        <v>610</v>
      </c>
      <c r="I554" t="s">
        <v>582</v>
      </c>
      <c r="J554" t="s">
        <v>614</v>
      </c>
      <c r="K554" t="s">
        <v>611</v>
      </c>
      <c r="L554">
        <v>2025</v>
      </c>
      <c r="M554" t="s">
        <v>24</v>
      </c>
      <c r="N554">
        <v>2381.4</v>
      </c>
      <c r="O554">
        <v>16.5</v>
      </c>
      <c r="P554">
        <v>38.851076686442497</v>
      </c>
      <c r="Q554">
        <v>2.9092539999999998</v>
      </c>
      <c r="R554" s="3">
        <v>31.3149191306</v>
      </c>
      <c r="S554">
        <v>74.364986442190656</v>
      </c>
      <c r="T554" s="3">
        <f t="shared" si="24"/>
        <v>74.364986442190656</v>
      </c>
      <c r="U554">
        <f t="shared" si="25"/>
        <v>35.513909755748159</v>
      </c>
    </row>
    <row r="555" spans="1:21" hidden="1" x14ac:dyDescent="0.25">
      <c r="A555" t="s">
        <v>180</v>
      </c>
      <c r="B555">
        <v>8</v>
      </c>
      <c r="C555">
        <v>3</v>
      </c>
      <c r="D555">
        <v>2</v>
      </c>
      <c r="E555">
        <v>7</v>
      </c>
      <c r="F555">
        <v>15</v>
      </c>
      <c r="G555">
        <v>36</v>
      </c>
      <c r="H555" t="s">
        <v>660</v>
      </c>
      <c r="I555" t="s">
        <v>616</v>
      </c>
      <c r="J555" t="s">
        <v>614</v>
      </c>
      <c r="K555" t="s">
        <v>661</v>
      </c>
      <c r="L555">
        <v>2025</v>
      </c>
      <c r="M555" t="s">
        <v>24</v>
      </c>
      <c r="N555">
        <v>1215.6500000000001</v>
      </c>
      <c r="O555">
        <v>16.7</v>
      </c>
      <c r="P555">
        <v>19.785079060541999</v>
      </c>
      <c r="Q555">
        <v>1.5643899999999999</v>
      </c>
      <c r="R555" s="3">
        <v>36.838937520999998</v>
      </c>
      <c r="S555">
        <v>32.191960970993208</v>
      </c>
      <c r="T555" s="3">
        <f t="shared" si="24"/>
        <v>32.191960970993208</v>
      </c>
      <c r="U555">
        <f t="shared" si="25"/>
        <v>12.406881910451208</v>
      </c>
    </row>
    <row r="556" spans="1:21" hidden="1" x14ac:dyDescent="0.25">
      <c r="A556" t="s">
        <v>177</v>
      </c>
      <c r="B556">
        <v>12</v>
      </c>
      <c r="C556">
        <v>17</v>
      </c>
      <c r="D556">
        <v>2</v>
      </c>
      <c r="E556">
        <v>6</v>
      </c>
      <c r="F556">
        <v>14</v>
      </c>
      <c r="G556">
        <v>37</v>
      </c>
      <c r="H556" t="s">
        <v>629</v>
      </c>
      <c r="I556" t="s">
        <v>630</v>
      </c>
      <c r="J556" t="s">
        <v>614</v>
      </c>
      <c r="K556" t="s">
        <v>631</v>
      </c>
      <c r="L556">
        <v>2025</v>
      </c>
      <c r="M556" t="s">
        <v>24</v>
      </c>
      <c r="N556">
        <v>2104.6999999999998</v>
      </c>
      <c r="O556">
        <v>13.3</v>
      </c>
      <c r="P556">
        <v>35.652790953942699</v>
      </c>
      <c r="Q556">
        <v>2.1526800000000001</v>
      </c>
      <c r="R556" s="3">
        <v>33.171232252000003</v>
      </c>
      <c r="S556">
        <v>64.424145402390891</v>
      </c>
      <c r="T556" s="3">
        <f t="shared" si="24"/>
        <v>64.424145402390891</v>
      </c>
      <c r="U556">
        <f t="shared" si="25"/>
        <v>28.771354448448193</v>
      </c>
    </row>
    <row r="557" spans="1:21" hidden="1" x14ac:dyDescent="0.25">
      <c r="A557" t="s">
        <v>181</v>
      </c>
      <c r="B557">
        <v>4</v>
      </c>
      <c r="C557">
        <v>16</v>
      </c>
      <c r="D557">
        <v>2</v>
      </c>
      <c r="E557">
        <v>7</v>
      </c>
      <c r="F557">
        <v>15</v>
      </c>
      <c r="G557">
        <v>37</v>
      </c>
      <c r="H557" t="s">
        <v>662</v>
      </c>
      <c r="I557" t="s">
        <v>619</v>
      </c>
      <c r="J557" t="s">
        <v>614</v>
      </c>
      <c r="K557" t="s">
        <v>663</v>
      </c>
      <c r="L557">
        <v>2025</v>
      </c>
      <c r="M557" t="s">
        <v>24</v>
      </c>
      <c r="N557">
        <v>1351.73</v>
      </c>
      <c r="O557">
        <v>17.100000000000001</v>
      </c>
      <c r="P557">
        <v>21.894181665534401</v>
      </c>
      <c r="Q557">
        <v>1.0462959999999999</v>
      </c>
      <c r="R557" s="3">
        <v>21.262225514400001</v>
      </c>
      <c r="S557">
        <v>61.721537481734593</v>
      </c>
      <c r="T557" s="3">
        <f t="shared" si="24"/>
        <v>61.721537481734593</v>
      </c>
      <c r="U557">
        <f t="shared" si="25"/>
        <v>39.827355816200196</v>
      </c>
    </row>
    <row r="558" spans="1:21" hidden="1" x14ac:dyDescent="0.25">
      <c r="A558" t="s">
        <v>175</v>
      </c>
      <c r="B558">
        <v>7</v>
      </c>
      <c r="C558">
        <v>13</v>
      </c>
      <c r="D558">
        <v>2</v>
      </c>
      <c r="E558">
        <v>6</v>
      </c>
      <c r="F558">
        <v>14</v>
      </c>
      <c r="G558">
        <v>35</v>
      </c>
      <c r="H558" t="s">
        <v>658</v>
      </c>
      <c r="I558" t="s">
        <v>619</v>
      </c>
      <c r="J558" t="s">
        <v>614</v>
      </c>
      <c r="K558" t="s">
        <v>659</v>
      </c>
      <c r="L558">
        <v>2025</v>
      </c>
      <c r="M558" t="s">
        <v>24</v>
      </c>
      <c r="N558">
        <v>1034.21</v>
      </c>
      <c r="O558">
        <v>18.2</v>
      </c>
      <c r="P558">
        <v>16.5289882378184</v>
      </c>
      <c r="Q558">
        <v>1.528346</v>
      </c>
      <c r="R558" s="3">
        <v>16.450963509400001</v>
      </c>
      <c r="S558">
        <v>60.2242874351236</v>
      </c>
      <c r="T558" s="3">
        <f t="shared" si="24"/>
        <v>60.2242874351236</v>
      </c>
      <c r="U558">
        <f t="shared" si="25"/>
        <v>43.695299197305204</v>
      </c>
    </row>
    <row r="559" spans="1:21" hidden="1" x14ac:dyDescent="0.25">
      <c r="A559" t="s">
        <v>371</v>
      </c>
      <c r="B559">
        <v>9</v>
      </c>
      <c r="C559">
        <v>5</v>
      </c>
      <c r="D559">
        <v>2</v>
      </c>
      <c r="E559">
        <v>7</v>
      </c>
      <c r="F559">
        <v>15</v>
      </c>
      <c r="G559">
        <v>38</v>
      </c>
      <c r="H559" t="s">
        <v>627</v>
      </c>
      <c r="I559" t="s">
        <v>616</v>
      </c>
      <c r="J559" t="s">
        <v>614</v>
      </c>
      <c r="K559" t="s">
        <v>628</v>
      </c>
      <c r="L559">
        <v>2025</v>
      </c>
      <c r="M559" t="s">
        <v>24</v>
      </c>
      <c r="N559">
        <v>1283.69</v>
      </c>
      <c r="O559">
        <v>15.5</v>
      </c>
      <c r="P559">
        <v>21.193422750728502</v>
      </c>
      <c r="Q559">
        <v>2.0585619999999998</v>
      </c>
      <c r="R559" s="3">
        <v>22.1581555118</v>
      </c>
      <c r="S559">
        <v>57.330302560705952</v>
      </c>
      <c r="T559" s="3">
        <f t="shared" si="24"/>
        <v>57.330302560705952</v>
      </c>
      <c r="U559">
        <f t="shared" si="25"/>
        <v>36.136879809977451</v>
      </c>
    </row>
    <row r="560" spans="1:21" hidden="1" x14ac:dyDescent="0.25">
      <c r="A560" t="s">
        <v>103</v>
      </c>
      <c r="B560">
        <v>10</v>
      </c>
      <c r="C560">
        <v>26</v>
      </c>
      <c r="D560">
        <v>1</v>
      </c>
      <c r="E560">
        <v>6</v>
      </c>
      <c r="F560">
        <v>6</v>
      </c>
      <c r="G560">
        <v>38</v>
      </c>
      <c r="H560" t="s">
        <v>578</v>
      </c>
      <c r="I560" t="s">
        <v>579</v>
      </c>
      <c r="J560" t="s">
        <v>614</v>
      </c>
      <c r="K560" t="s">
        <v>580</v>
      </c>
      <c r="L560">
        <v>2025</v>
      </c>
      <c r="M560" t="s">
        <v>24</v>
      </c>
      <c r="N560">
        <v>1319.98</v>
      </c>
      <c r="O560">
        <v>15.1</v>
      </c>
      <c r="P560">
        <v>21.8957222514811</v>
      </c>
      <c r="Q560">
        <v>2.1385640000000001</v>
      </c>
      <c r="R560" s="3">
        <v>23.0192890396</v>
      </c>
      <c r="S560">
        <v>57.014340864133857</v>
      </c>
      <c r="T560" s="3">
        <f t="shared" si="24"/>
        <v>57.014340864133857</v>
      </c>
      <c r="U560">
        <f t="shared" si="25"/>
        <v>35.118618612652753</v>
      </c>
    </row>
    <row r="561" spans="1:21" hidden="1" x14ac:dyDescent="0.25">
      <c r="A561" t="s">
        <v>195</v>
      </c>
      <c r="B561">
        <v>12</v>
      </c>
      <c r="C561">
        <v>21</v>
      </c>
      <c r="D561">
        <v>3</v>
      </c>
      <c r="E561">
        <v>2</v>
      </c>
      <c r="F561">
        <v>18</v>
      </c>
      <c r="G561">
        <v>37</v>
      </c>
      <c r="H561" t="s">
        <v>602</v>
      </c>
      <c r="I561" t="s">
        <v>603</v>
      </c>
      <c r="J561" t="s">
        <v>614</v>
      </c>
      <c r="K561" t="s">
        <v>604</v>
      </c>
      <c r="L561">
        <v>2025</v>
      </c>
      <c r="M561" t="s">
        <v>24</v>
      </c>
      <c r="N561">
        <v>1415.23</v>
      </c>
      <c r="O561">
        <v>16.8</v>
      </c>
      <c r="P561">
        <v>23.005654150730901</v>
      </c>
      <c r="Q561">
        <v>2.2875640000000002</v>
      </c>
      <c r="R561" s="3">
        <v>24.623110139600001</v>
      </c>
      <c r="S561">
        <v>56.002629317614435</v>
      </c>
      <c r="T561" s="3">
        <f t="shared" si="24"/>
        <v>56.002629317614435</v>
      </c>
      <c r="U561">
        <f t="shared" si="25"/>
        <v>32.99697516688353</v>
      </c>
    </row>
    <row r="562" spans="1:21" hidden="1" x14ac:dyDescent="0.25">
      <c r="A562" t="s">
        <v>126</v>
      </c>
      <c r="B562">
        <v>11</v>
      </c>
      <c r="C562">
        <v>23</v>
      </c>
      <c r="D562">
        <v>1</v>
      </c>
      <c r="E562">
        <v>8</v>
      </c>
      <c r="F562">
        <v>8</v>
      </c>
      <c r="G562">
        <v>36</v>
      </c>
      <c r="H562" t="s">
        <v>575</v>
      </c>
      <c r="I562" t="s">
        <v>576</v>
      </c>
      <c r="J562" t="s">
        <v>614</v>
      </c>
      <c r="K562" t="s">
        <v>577</v>
      </c>
      <c r="L562">
        <v>2025</v>
      </c>
      <c r="M562" t="s">
        <v>24</v>
      </c>
      <c r="N562">
        <v>1519.56</v>
      </c>
      <c r="O562">
        <v>16.5</v>
      </c>
      <c r="P562">
        <v>24.790687028491899</v>
      </c>
      <c r="Q562">
        <v>2.473201</v>
      </c>
      <c r="R562" s="3">
        <v>26.6212882439</v>
      </c>
      <c r="S562">
        <v>55.818252177495431</v>
      </c>
      <c r="T562" s="3">
        <f t="shared" si="24"/>
        <v>55.818252177495431</v>
      </c>
      <c r="U562">
        <f t="shared" si="25"/>
        <v>31.027565149003532</v>
      </c>
    </row>
    <row r="563" spans="1:21" hidden="1" x14ac:dyDescent="0.25">
      <c r="A563" t="s">
        <v>87</v>
      </c>
      <c r="B563">
        <v>9</v>
      </c>
      <c r="C563">
        <v>9</v>
      </c>
      <c r="D563">
        <v>1</v>
      </c>
      <c r="E563">
        <v>5</v>
      </c>
      <c r="F563">
        <v>5</v>
      </c>
      <c r="G563">
        <v>38</v>
      </c>
      <c r="H563" t="s">
        <v>640</v>
      </c>
      <c r="I563" t="s">
        <v>641</v>
      </c>
      <c r="J563" t="s">
        <v>614</v>
      </c>
      <c r="K563" t="s">
        <v>642</v>
      </c>
      <c r="L563">
        <v>2025</v>
      </c>
      <c r="M563" t="s">
        <v>24</v>
      </c>
      <c r="N563">
        <v>1515.02</v>
      </c>
      <c r="O563">
        <v>15.2</v>
      </c>
      <c r="P563">
        <v>25.101429368457399</v>
      </c>
      <c r="Q563">
        <v>1.577987</v>
      </c>
      <c r="R563" s="3">
        <v>26.985294269299999</v>
      </c>
      <c r="S563">
        <v>55.755540826435606</v>
      </c>
      <c r="T563" s="3">
        <f t="shared" si="24"/>
        <v>55.755540826435606</v>
      </c>
      <c r="U563">
        <f t="shared" si="25"/>
        <v>30.654111457978207</v>
      </c>
    </row>
    <row r="564" spans="1:21" hidden="1" x14ac:dyDescent="0.25">
      <c r="A564" t="s">
        <v>160</v>
      </c>
      <c r="B564">
        <v>11</v>
      </c>
      <c r="C564">
        <v>12</v>
      </c>
      <c r="D564">
        <v>2</v>
      </c>
      <c r="E564">
        <v>2</v>
      </c>
      <c r="F564">
        <v>10</v>
      </c>
      <c r="G564">
        <v>38</v>
      </c>
      <c r="H564" t="s">
        <v>625</v>
      </c>
      <c r="I564" t="s">
        <v>619</v>
      </c>
      <c r="J564" t="s">
        <v>614</v>
      </c>
      <c r="K564" t="s">
        <v>626</v>
      </c>
      <c r="L564">
        <v>2025</v>
      </c>
      <c r="M564" t="s">
        <v>24</v>
      </c>
      <c r="N564">
        <v>1682.86</v>
      </c>
      <c r="O564">
        <v>16.600000000000001</v>
      </c>
      <c r="P564">
        <v>27.421946084683199</v>
      </c>
      <c r="Q564">
        <v>1.8602050000000001</v>
      </c>
      <c r="R564" s="3">
        <v>30.023060599499999</v>
      </c>
      <c r="S564">
        <v>54.746965016061182</v>
      </c>
      <c r="T564" s="3">
        <f t="shared" si="24"/>
        <v>54.746965016061182</v>
      </c>
      <c r="U564">
        <f t="shared" si="25"/>
        <v>27.325018931377983</v>
      </c>
    </row>
    <row r="565" spans="1:21" hidden="1" x14ac:dyDescent="0.25">
      <c r="A565" t="s">
        <v>178</v>
      </c>
      <c r="B565">
        <v>14</v>
      </c>
      <c r="C565">
        <v>23</v>
      </c>
      <c r="D565">
        <v>2</v>
      </c>
      <c r="E565">
        <v>6</v>
      </c>
      <c r="F565">
        <v>14</v>
      </c>
      <c r="G565">
        <v>38</v>
      </c>
      <c r="H565" t="s">
        <v>575</v>
      </c>
      <c r="I565" t="s">
        <v>576</v>
      </c>
      <c r="J565" t="s">
        <v>614</v>
      </c>
      <c r="K565" t="s">
        <v>577</v>
      </c>
      <c r="L565">
        <v>2025</v>
      </c>
      <c r="M565" t="s">
        <v>24</v>
      </c>
      <c r="N565">
        <v>1714.61</v>
      </c>
      <c r="O565">
        <v>16.399999999999999</v>
      </c>
      <c r="P565">
        <v>28.006308211683098</v>
      </c>
      <c r="Q565">
        <v>2.855575</v>
      </c>
      <c r="R565" s="3">
        <v>30.7371237425</v>
      </c>
      <c r="S565">
        <v>54.614677946823015</v>
      </c>
      <c r="T565" s="3">
        <f t="shared" si="24"/>
        <v>54.614677946823015</v>
      </c>
      <c r="U565">
        <f t="shared" si="25"/>
        <v>26.608369735139917</v>
      </c>
    </row>
    <row r="566" spans="1:21" hidden="1" x14ac:dyDescent="0.25">
      <c r="A566" t="s">
        <v>164</v>
      </c>
      <c r="B566">
        <v>15</v>
      </c>
      <c r="C566">
        <v>4</v>
      </c>
      <c r="D566">
        <v>2</v>
      </c>
      <c r="E566">
        <v>3</v>
      </c>
      <c r="F566">
        <v>11</v>
      </c>
      <c r="G566">
        <v>38</v>
      </c>
      <c r="H566" t="s">
        <v>621</v>
      </c>
      <c r="I566" t="s">
        <v>616</v>
      </c>
      <c r="J566" t="s">
        <v>614</v>
      </c>
      <c r="K566" t="s">
        <v>622</v>
      </c>
      <c r="L566">
        <v>2025</v>
      </c>
      <c r="M566" t="s">
        <v>24</v>
      </c>
      <c r="N566">
        <v>1596.67</v>
      </c>
      <c r="O566">
        <v>18</v>
      </c>
      <c r="P566">
        <v>25.5807487381561</v>
      </c>
      <c r="Q566">
        <v>2.7944040000000001</v>
      </c>
      <c r="R566" s="3">
        <v>30.0786852156</v>
      </c>
      <c r="S566">
        <v>50.976632401799385</v>
      </c>
      <c r="T566" s="3">
        <f t="shared" si="24"/>
        <v>50.976632401799385</v>
      </c>
      <c r="U566">
        <f t="shared" si="25"/>
        <v>25.395883663643286</v>
      </c>
    </row>
    <row r="567" spans="1:21" hidden="1" x14ac:dyDescent="0.25">
      <c r="A567" t="s">
        <v>153</v>
      </c>
      <c r="B567">
        <v>6</v>
      </c>
      <c r="C567">
        <v>18</v>
      </c>
      <c r="D567">
        <v>2</v>
      </c>
      <c r="E567">
        <v>1</v>
      </c>
      <c r="F567">
        <v>9</v>
      </c>
      <c r="G567">
        <v>35</v>
      </c>
      <c r="H567" t="s">
        <v>653</v>
      </c>
      <c r="I567" t="s">
        <v>654</v>
      </c>
      <c r="J567" t="s">
        <v>614</v>
      </c>
      <c r="K567" t="s">
        <v>655</v>
      </c>
      <c r="L567">
        <v>2025</v>
      </c>
      <c r="M567" t="s">
        <v>24</v>
      </c>
      <c r="N567">
        <v>1737.29</v>
      </c>
      <c r="O567">
        <v>14.2</v>
      </c>
      <c r="P567">
        <v>29.1235184758897</v>
      </c>
      <c r="Q567">
        <v>1.3258300000000001</v>
      </c>
      <c r="R567" s="3">
        <v>34.271101537</v>
      </c>
      <c r="S567">
        <v>50.936900745958411</v>
      </c>
      <c r="T567" s="3">
        <f t="shared" si="24"/>
        <v>50.936900745958411</v>
      </c>
      <c r="U567">
        <f t="shared" si="25"/>
        <v>21.813382270068711</v>
      </c>
    </row>
    <row r="568" spans="1:21" hidden="1" x14ac:dyDescent="0.25">
      <c r="A568" t="s">
        <v>176</v>
      </c>
      <c r="B568">
        <v>17</v>
      </c>
      <c r="C568">
        <v>24</v>
      </c>
      <c r="D568">
        <v>2</v>
      </c>
      <c r="E568">
        <v>6</v>
      </c>
      <c r="F568">
        <v>14</v>
      </c>
      <c r="G568">
        <v>36</v>
      </c>
      <c r="H568" t="s">
        <v>584</v>
      </c>
      <c r="I568" t="s">
        <v>585</v>
      </c>
      <c r="J568" t="s">
        <v>614</v>
      </c>
      <c r="K568" t="s">
        <v>586</v>
      </c>
      <c r="L568">
        <v>2025</v>
      </c>
      <c r="M568" t="s">
        <v>24</v>
      </c>
      <c r="N568">
        <v>1673.78</v>
      </c>
      <c r="O568">
        <v>14.9</v>
      </c>
      <c r="P568">
        <v>27.829933492015702</v>
      </c>
      <c r="Q568">
        <v>3.0807329999999999</v>
      </c>
      <c r="R568" s="3">
        <v>33.160701938700001</v>
      </c>
      <c r="S568">
        <v>50.304309498486333</v>
      </c>
      <c r="T568" s="3">
        <f t="shared" si="24"/>
        <v>50.304309498486333</v>
      </c>
      <c r="U568">
        <f t="shared" si="25"/>
        <v>22.474376006470631</v>
      </c>
    </row>
    <row r="569" spans="1:21" hidden="1" x14ac:dyDescent="0.25">
      <c r="A569" t="s">
        <v>156</v>
      </c>
      <c r="B569">
        <v>16</v>
      </c>
      <c r="C569">
        <v>26</v>
      </c>
      <c r="D569">
        <v>2</v>
      </c>
      <c r="E569">
        <v>1</v>
      </c>
      <c r="F569">
        <v>9</v>
      </c>
      <c r="G569">
        <v>38</v>
      </c>
      <c r="H569" t="s">
        <v>578</v>
      </c>
      <c r="I569" t="s">
        <v>579</v>
      </c>
      <c r="J569" t="s">
        <v>614</v>
      </c>
      <c r="K569" t="s">
        <v>580</v>
      </c>
      <c r="L569">
        <v>2025</v>
      </c>
      <c r="M569" t="s">
        <v>24</v>
      </c>
      <c r="N569">
        <v>1728.22</v>
      </c>
      <c r="O569">
        <v>14.8</v>
      </c>
      <c r="P569">
        <v>28.768873441773199</v>
      </c>
      <c r="Q569">
        <v>3.1906319999999999</v>
      </c>
      <c r="R569" s="3">
        <v>34.343643784800001</v>
      </c>
      <c r="S569">
        <v>50.210347070484147</v>
      </c>
      <c r="T569" s="3">
        <f t="shared" si="24"/>
        <v>50.210347070484147</v>
      </c>
      <c r="U569">
        <f t="shared" si="25"/>
        <v>21.441473628710948</v>
      </c>
    </row>
    <row r="570" spans="1:21" hidden="1" x14ac:dyDescent="0.25">
      <c r="A570" t="s">
        <v>166</v>
      </c>
      <c r="B570">
        <v>14</v>
      </c>
      <c r="C570">
        <v>14</v>
      </c>
      <c r="D570">
        <v>2</v>
      </c>
      <c r="E570">
        <v>4</v>
      </c>
      <c r="F570">
        <v>12</v>
      </c>
      <c r="G570">
        <v>36</v>
      </c>
      <c r="H570" t="s">
        <v>623</v>
      </c>
      <c r="I570" t="s">
        <v>619</v>
      </c>
      <c r="J570" t="s">
        <v>614</v>
      </c>
      <c r="K570" t="s">
        <v>624</v>
      </c>
      <c r="L570">
        <v>2025</v>
      </c>
      <c r="M570" t="s">
        <v>24</v>
      </c>
      <c r="N570">
        <v>1691.93</v>
      </c>
      <c r="O570">
        <v>16.600000000000001</v>
      </c>
      <c r="P570">
        <v>27.569740346230901</v>
      </c>
      <c r="Q570">
        <v>3.1772089999999999</v>
      </c>
      <c r="R570" s="3">
        <v>34.199159955100001</v>
      </c>
      <c r="S570">
        <v>48.320784443906838</v>
      </c>
      <c r="T570" s="3">
        <f t="shared" si="24"/>
        <v>48.320784443906838</v>
      </c>
      <c r="U570">
        <f t="shared" si="25"/>
        <v>20.751044097675937</v>
      </c>
    </row>
    <row r="571" spans="1:21" hidden="1" x14ac:dyDescent="0.25">
      <c r="A571" t="s">
        <v>172</v>
      </c>
      <c r="B571">
        <v>14</v>
      </c>
      <c r="C571">
        <v>2</v>
      </c>
      <c r="D571">
        <v>2</v>
      </c>
      <c r="E571">
        <v>5</v>
      </c>
      <c r="F571">
        <v>13</v>
      </c>
      <c r="G571">
        <v>36</v>
      </c>
      <c r="H571" t="s">
        <v>615</v>
      </c>
      <c r="I571" t="s">
        <v>616</v>
      </c>
      <c r="J571" t="s">
        <v>614</v>
      </c>
      <c r="K571" t="s">
        <v>617</v>
      </c>
      <c r="L571">
        <v>2025</v>
      </c>
      <c r="M571" t="s">
        <v>24</v>
      </c>
      <c r="N571">
        <v>1406.16</v>
      </c>
      <c r="O571">
        <v>17.5</v>
      </c>
      <c r="P571">
        <v>22.665897604922002</v>
      </c>
      <c r="Q571">
        <v>2.7286100000000002</v>
      </c>
      <c r="R571" s="3">
        <v>29.370485178999999</v>
      </c>
      <c r="S571">
        <v>46.257114724492993</v>
      </c>
      <c r="T571" s="3">
        <f t="shared" si="24"/>
        <v>46.257114724492993</v>
      </c>
      <c r="U571">
        <f t="shared" si="25"/>
        <v>23.591217119570992</v>
      </c>
    </row>
    <row r="572" spans="1:21" hidden="1" x14ac:dyDescent="0.25">
      <c r="A572" t="s">
        <v>376</v>
      </c>
      <c r="B572">
        <v>25</v>
      </c>
      <c r="C572">
        <v>18</v>
      </c>
      <c r="D572">
        <v>3</v>
      </c>
      <c r="E572">
        <v>2</v>
      </c>
      <c r="F572">
        <v>18</v>
      </c>
      <c r="G572">
        <v>36</v>
      </c>
      <c r="H572" t="s">
        <v>653</v>
      </c>
      <c r="I572" t="s">
        <v>654</v>
      </c>
      <c r="J572" t="s">
        <v>614</v>
      </c>
      <c r="K572" t="s">
        <v>655</v>
      </c>
      <c r="L572">
        <v>2025</v>
      </c>
      <c r="M572" t="s">
        <v>24</v>
      </c>
      <c r="N572">
        <v>1547.1</v>
      </c>
      <c r="O572">
        <v>14.7</v>
      </c>
      <c r="P572">
        <v>25.784080683470901</v>
      </c>
      <c r="Q572">
        <v>3.191665</v>
      </c>
      <c r="R572" s="3">
        <v>34.354762893499988</v>
      </c>
      <c r="S572">
        <v>44.986420105948675</v>
      </c>
      <c r="T572" s="3">
        <f t="shared" si="24"/>
        <v>44.986420105948675</v>
      </c>
      <c r="U572">
        <f t="shared" si="25"/>
        <v>19.202339422477774</v>
      </c>
    </row>
    <row r="573" spans="1:21" hidden="1" x14ac:dyDescent="0.25">
      <c r="A573" t="s">
        <v>130</v>
      </c>
      <c r="B573">
        <v>8</v>
      </c>
      <c r="C573">
        <v>28</v>
      </c>
      <c r="D573">
        <v>1</v>
      </c>
      <c r="E573">
        <v>8</v>
      </c>
      <c r="F573">
        <v>8</v>
      </c>
      <c r="G573">
        <v>37</v>
      </c>
      <c r="H573" t="s">
        <v>648</v>
      </c>
      <c r="I573" t="s">
        <v>649</v>
      </c>
      <c r="J573" t="s">
        <v>614</v>
      </c>
      <c r="L573">
        <v>2025</v>
      </c>
      <c r="M573" t="s">
        <v>24</v>
      </c>
      <c r="N573">
        <v>889.06</v>
      </c>
      <c r="O573">
        <v>16.100000000000001</v>
      </c>
      <c r="P573">
        <v>14.573949698181901</v>
      </c>
      <c r="Q573">
        <v>1.830203</v>
      </c>
      <c r="R573" s="3">
        <v>19.700122071700001</v>
      </c>
      <c r="S573">
        <v>44.343001618448206</v>
      </c>
      <c r="T573" s="3">
        <f t="shared" si="24"/>
        <v>44.343001618448206</v>
      </c>
      <c r="U573">
        <f t="shared" si="25"/>
        <v>29.769051920266307</v>
      </c>
    </row>
    <row r="574" spans="1:21" hidden="1" x14ac:dyDescent="0.25">
      <c r="A574" t="s">
        <v>60</v>
      </c>
      <c r="B574">
        <v>7</v>
      </c>
      <c r="C574">
        <v>17</v>
      </c>
      <c r="D574">
        <v>1</v>
      </c>
      <c r="E574">
        <v>3</v>
      </c>
      <c r="F574">
        <v>3</v>
      </c>
      <c r="G574">
        <v>38</v>
      </c>
      <c r="H574" t="s">
        <v>629</v>
      </c>
      <c r="I574" t="s">
        <v>630</v>
      </c>
      <c r="J574" t="s">
        <v>614</v>
      </c>
      <c r="K574" t="s">
        <v>631</v>
      </c>
      <c r="L574">
        <v>2025</v>
      </c>
      <c r="M574" t="s">
        <v>24</v>
      </c>
      <c r="N574">
        <v>1288.22</v>
      </c>
      <c r="O574">
        <v>16.3</v>
      </c>
      <c r="P574">
        <v>21.0668561418561</v>
      </c>
      <c r="Q574">
        <v>1.745935</v>
      </c>
      <c r="R574" s="3">
        <v>28.793069746499999</v>
      </c>
      <c r="S574">
        <v>43.855947568645497</v>
      </c>
      <c r="T574" s="3">
        <f t="shared" si="24"/>
        <v>43.855947568645497</v>
      </c>
      <c r="U574">
        <f t="shared" si="25"/>
        <v>22.789091426789398</v>
      </c>
    </row>
    <row r="575" spans="1:21" hidden="1" x14ac:dyDescent="0.25">
      <c r="A575" t="s">
        <v>282</v>
      </c>
      <c r="B575">
        <v>10</v>
      </c>
      <c r="C575">
        <v>14</v>
      </c>
      <c r="D575">
        <v>1</v>
      </c>
      <c r="E575">
        <v>2</v>
      </c>
      <c r="F575">
        <v>2</v>
      </c>
      <c r="G575">
        <v>38</v>
      </c>
      <c r="H575" t="s">
        <v>623</v>
      </c>
      <c r="I575" t="s">
        <v>619</v>
      </c>
      <c r="J575" t="s">
        <v>614</v>
      </c>
      <c r="K575" t="s">
        <v>624</v>
      </c>
      <c r="L575">
        <v>2025</v>
      </c>
      <c r="M575" t="s">
        <v>24</v>
      </c>
      <c r="N575">
        <v>1129.46</v>
      </c>
      <c r="O575">
        <v>16.100000000000001</v>
      </c>
      <c r="P575">
        <v>18.5147157965812</v>
      </c>
      <c r="Q575">
        <v>2.370438</v>
      </c>
      <c r="R575" s="3">
        <v>25.515157588200001</v>
      </c>
      <c r="S575">
        <v>43.494619267423744</v>
      </c>
      <c r="T575" s="3">
        <f t="shared" si="24"/>
        <v>43.494619267423744</v>
      </c>
      <c r="U575">
        <f t="shared" si="25"/>
        <v>24.979903470842544</v>
      </c>
    </row>
    <row r="576" spans="1:21" hidden="1" x14ac:dyDescent="0.25">
      <c r="A576" t="s">
        <v>79</v>
      </c>
      <c r="B576">
        <v>8</v>
      </c>
      <c r="C576">
        <v>20</v>
      </c>
      <c r="D576">
        <v>1</v>
      </c>
      <c r="E576">
        <v>5</v>
      </c>
      <c r="F576">
        <v>5</v>
      </c>
      <c r="G576">
        <v>36</v>
      </c>
      <c r="H576" t="s">
        <v>637</v>
      </c>
      <c r="I576" t="s">
        <v>638</v>
      </c>
      <c r="J576" t="s">
        <v>614</v>
      </c>
      <c r="K576" t="s">
        <v>639</v>
      </c>
      <c r="L576">
        <v>2025</v>
      </c>
      <c r="M576" t="s">
        <v>24</v>
      </c>
      <c r="N576">
        <v>1383.48</v>
      </c>
      <c r="O576">
        <v>18.399999999999999</v>
      </c>
      <c r="P576">
        <v>22.0570424082619</v>
      </c>
      <c r="Q576">
        <v>1.908749</v>
      </c>
      <c r="R576" s="3">
        <v>30.5455833611</v>
      </c>
      <c r="S576">
        <v>43.282824437228498</v>
      </c>
      <c r="T576" s="3">
        <f t="shared" si="24"/>
        <v>43.282824437228498</v>
      </c>
      <c r="U576">
        <f t="shared" si="25"/>
        <v>21.225782028966599</v>
      </c>
    </row>
    <row r="577" spans="1:21" hidden="1" x14ac:dyDescent="0.25">
      <c r="A577" t="s">
        <v>170</v>
      </c>
      <c r="B577">
        <v>14</v>
      </c>
      <c r="C577">
        <v>6</v>
      </c>
      <c r="D577">
        <v>2</v>
      </c>
      <c r="E577">
        <v>4</v>
      </c>
      <c r="F577">
        <v>12</v>
      </c>
      <c r="G577">
        <v>38</v>
      </c>
      <c r="H577" t="s">
        <v>645</v>
      </c>
      <c r="I577" t="s">
        <v>646</v>
      </c>
      <c r="J577" t="s">
        <v>614</v>
      </c>
      <c r="K577" t="s">
        <v>647</v>
      </c>
      <c r="L577">
        <v>2025</v>
      </c>
      <c r="M577" t="s">
        <v>24</v>
      </c>
      <c r="N577">
        <v>1496.88</v>
      </c>
      <c r="O577">
        <v>16.7</v>
      </c>
      <c r="P577">
        <v>24.362184135354902</v>
      </c>
      <c r="Q577">
        <v>3.1551459999999998</v>
      </c>
      <c r="R577" s="3">
        <v>33.961676029400003</v>
      </c>
      <c r="S577">
        <v>42.997563365513599</v>
      </c>
      <c r="T577" s="3">
        <f t="shared" si="24"/>
        <v>42.997563365513599</v>
      </c>
      <c r="U577">
        <f t="shared" si="25"/>
        <v>18.635379230158698</v>
      </c>
    </row>
    <row r="578" spans="1:21" hidden="1" x14ac:dyDescent="0.25">
      <c r="A578" t="s">
        <v>193</v>
      </c>
      <c r="B578">
        <v>20</v>
      </c>
      <c r="C578">
        <v>12</v>
      </c>
      <c r="D578">
        <v>3</v>
      </c>
      <c r="E578">
        <v>1</v>
      </c>
      <c r="F578">
        <v>17</v>
      </c>
      <c r="G578">
        <v>38</v>
      </c>
      <c r="H578" t="s">
        <v>625</v>
      </c>
      <c r="I578" t="s">
        <v>619</v>
      </c>
      <c r="J578" t="s">
        <v>614</v>
      </c>
      <c r="K578" t="s">
        <v>626</v>
      </c>
      <c r="L578">
        <v>2025</v>
      </c>
      <c r="M578" t="s">
        <v>24</v>
      </c>
      <c r="N578">
        <v>1490.41</v>
      </c>
      <c r="O578">
        <v>15.7</v>
      </c>
      <c r="P578">
        <v>24.548081962140198</v>
      </c>
      <c r="Q578">
        <v>3.2163499999999998</v>
      </c>
      <c r="R578" s="3">
        <v>34.620469765000003</v>
      </c>
      <c r="S578">
        <v>42.501215113442157</v>
      </c>
      <c r="T578" s="3">
        <f t="shared" si="24"/>
        <v>42.501215113442157</v>
      </c>
      <c r="U578">
        <f t="shared" si="25"/>
        <v>17.953133151301959</v>
      </c>
    </row>
    <row r="579" spans="1:21" hidden="1" x14ac:dyDescent="0.25">
      <c r="A579" t="s">
        <v>37</v>
      </c>
      <c r="B579">
        <v>8</v>
      </c>
      <c r="C579">
        <v>4</v>
      </c>
      <c r="D579">
        <v>1</v>
      </c>
      <c r="E579">
        <v>2</v>
      </c>
      <c r="F579">
        <v>2</v>
      </c>
      <c r="G579">
        <v>35</v>
      </c>
      <c r="H579" t="s">
        <v>621</v>
      </c>
      <c r="I579" t="s">
        <v>616</v>
      </c>
      <c r="J579" t="s">
        <v>614</v>
      </c>
      <c r="K579" t="s">
        <v>622</v>
      </c>
      <c r="L579">
        <v>2025</v>
      </c>
      <c r="M579" t="s">
        <v>24</v>
      </c>
      <c r="N579">
        <v>1283.1500000000001</v>
      </c>
      <c r="O579">
        <v>14.9</v>
      </c>
      <c r="P579">
        <v>21.334930014864501</v>
      </c>
      <c r="Q579">
        <v>1.9062509999999999</v>
      </c>
      <c r="R579" s="3">
        <v>30.5186951389</v>
      </c>
      <c r="S579">
        <v>41.902699288770201</v>
      </c>
      <c r="T579" s="3">
        <f t="shared" si="24"/>
        <v>41.902699288770201</v>
      </c>
      <c r="U579">
        <f t="shared" si="25"/>
        <v>20.5677692739057</v>
      </c>
    </row>
    <row r="580" spans="1:21" hidden="1" x14ac:dyDescent="0.25">
      <c r="A580" t="s">
        <v>205</v>
      </c>
      <c r="B580">
        <v>17</v>
      </c>
      <c r="C580">
        <v>22</v>
      </c>
      <c r="D580">
        <v>3</v>
      </c>
      <c r="E580">
        <v>5</v>
      </c>
      <c r="F580">
        <v>21</v>
      </c>
      <c r="G580">
        <v>35</v>
      </c>
      <c r="H580" t="s">
        <v>587</v>
      </c>
      <c r="I580" t="s">
        <v>588</v>
      </c>
      <c r="J580" t="s">
        <v>614</v>
      </c>
      <c r="K580" t="s">
        <v>589</v>
      </c>
      <c r="L580">
        <v>2025</v>
      </c>
      <c r="M580" t="s">
        <v>24</v>
      </c>
      <c r="N580">
        <v>1465.13</v>
      </c>
      <c r="O580">
        <v>14.9</v>
      </c>
      <c r="P580">
        <v>24.360710760767201</v>
      </c>
      <c r="Q580">
        <v>3.321847</v>
      </c>
      <c r="R580" s="3">
        <v>35.756028923300001</v>
      </c>
      <c r="S580">
        <v>40.837337002176916</v>
      </c>
      <c r="T580" s="3">
        <f t="shared" si="24"/>
        <v>40.837337002176916</v>
      </c>
      <c r="U580">
        <f t="shared" si="25"/>
        <v>16.476626241409715</v>
      </c>
    </row>
    <row r="581" spans="1:21" hidden="1" x14ac:dyDescent="0.25">
      <c r="A581" t="s">
        <v>72</v>
      </c>
      <c r="B581">
        <v>27</v>
      </c>
      <c r="C581">
        <v>25</v>
      </c>
      <c r="D581">
        <v>1</v>
      </c>
      <c r="E581">
        <v>4</v>
      </c>
      <c r="F581">
        <v>4</v>
      </c>
      <c r="G581">
        <v>37</v>
      </c>
      <c r="H581" t="s">
        <v>610</v>
      </c>
      <c r="I581" t="s">
        <v>582</v>
      </c>
      <c r="J581" t="s">
        <v>614</v>
      </c>
      <c r="K581" t="s">
        <v>611</v>
      </c>
      <c r="L581">
        <v>2025</v>
      </c>
      <c r="M581" t="s">
        <v>24</v>
      </c>
      <c r="N581">
        <v>1868.83</v>
      </c>
      <c r="O581">
        <v>15.9</v>
      </c>
      <c r="P581">
        <v>30.70789359982</v>
      </c>
      <c r="Q581">
        <v>4.1965050000000002</v>
      </c>
      <c r="R581" s="3">
        <v>45.170760169499999</v>
      </c>
      <c r="S581">
        <v>40.74828795146184</v>
      </c>
      <c r="T581" s="3">
        <f t="shared" si="24"/>
        <v>40.74828795146184</v>
      </c>
      <c r="U581">
        <f t="shared" si="25"/>
        <v>10.04039435164184</v>
      </c>
    </row>
    <row r="582" spans="1:21" hidden="1" x14ac:dyDescent="0.25">
      <c r="A582" t="s">
        <v>212</v>
      </c>
      <c r="B582">
        <v>7</v>
      </c>
      <c r="C582">
        <v>28</v>
      </c>
      <c r="D582">
        <v>3</v>
      </c>
      <c r="E582">
        <v>6</v>
      </c>
      <c r="F582">
        <v>22</v>
      </c>
      <c r="G582">
        <v>38</v>
      </c>
      <c r="H582" t="s">
        <v>648</v>
      </c>
      <c r="I582" t="s">
        <v>649</v>
      </c>
      <c r="J582" t="s">
        <v>614</v>
      </c>
      <c r="L582">
        <v>2025</v>
      </c>
      <c r="M582" t="s">
        <v>24</v>
      </c>
      <c r="N582">
        <v>743.9</v>
      </c>
      <c r="O582">
        <v>14.9</v>
      </c>
      <c r="P582">
        <v>12.3688223809046</v>
      </c>
      <c r="Q582">
        <v>1.697484</v>
      </c>
      <c r="R582" s="3">
        <v>18.271548027600002</v>
      </c>
      <c r="S582">
        <v>40.576048203005122</v>
      </c>
      <c r="T582" s="3">
        <f t="shared" si="24"/>
        <v>40.576048203005122</v>
      </c>
      <c r="U582">
        <f t="shared" si="25"/>
        <v>28.207225822100522</v>
      </c>
    </row>
    <row r="583" spans="1:21" hidden="1" x14ac:dyDescent="0.25">
      <c r="A583" t="s">
        <v>206</v>
      </c>
      <c r="B583">
        <v>26</v>
      </c>
      <c r="C583">
        <v>5</v>
      </c>
      <c r="D583">
        <v>3</v>
      </c>
      <c r="E583">
        <v>5</v>
      </c>
      <c r="F583">
        <v>21</v>
      </c>
      <c r="G583">
        <v>36</v>
      </c>
      <c r="H583" t="s">
        <v>627</v>
      </c>
      <c r="I583" t="s">
        <v>616</v>
      </c>
      <c r="J583" t="s">
        <v>614</v>
      </c>
      <c r="K583" t="s">
        <v>628</v>
      </c>
      <c r="L583">
        <v>2025</v>
      </c>
      <c r="M583" t="s">
        <v>24</v>
      </c>
      <c r="N583">
        <v>1268.1400000000001</v>
      </c>
      <c r="O583">
        <v>16</v>
      </c>
      <c r="P583">
        <v>20.812810100073001</v>
      </c>
      <c r="Q583">
        <v>2.9356840000000002</v>
      </c>
      <c r="R583" s="3">
        <v>31.599409007599998</v>
      </c>
      <c r="S583">
        <v>39.47921421879542</v>
      </c>
      <c r="T583" s="3">
        <f t="shared" si="24"/>
        <v>39.47921421879542</v>
      </c>
      <c r="U583">
        <f t="shared" si="25"/>
        <v>18.666404118722419</v>
      </c>
    </row>
    <row r="584" spans="1:21" hidden="1" x14ac:dyDescent="0.25">
      <c r="A584" t="s">
        <v>208</v>
      </c>
      <c r="B584">
        <v>23</v>
      </c>
      <c r="C584">
        <v>25</v>
      </c>
      <c r="D584">
        <v>3</v>
      </c>
      <c r="E584">
        <v>5</v>
      </c>
      <c r="F584">
        <v>21</v>
      </c>
      <c r="G584">
        <v>38</v>
      </c>
      <c r="H584" t="s">
        <v>610</v>
      </c>
      <c r="I584" t="s">
        <v>582</v>
      </c>
      <c r="J584" t="s">
        <v>614</v>
      </c>
      <c r="K584" t="s">
        <v>611</v>
      </c>
      <c r="L584">
        <v>2025</v>
      </c>
      <c r="M584" t="s">
        <v>24</v>
      </c>
      <c r="N584">
        <v>1437.91</v>
      </c>
      <c r="O584">
        <v>14.5</v>
      </c>
      <c r="P584">
        <v>24.020500538285098</v>
      </c>
      <c r="Q584">
        <v>3.407991</v>
      </c>
      <c r="R584" s="3">
        <v>36.683274324899998</v>
      </c>
      <c r="S584">
        <v>39.249189958146779</v>
      </c>
      <c r="T584" s="3">
        <f t="shared" si="24"/>
        <v>39.249189958146779</v>
      </c>
      <c r="U584">
        <f t="shared" si="25"/>
        <v>15.228689419861681</v>
      </c>
    </row>
    <row r="585" spans="1:21" hidden="1" x14ac:dyDescent="0.25">
      <c r="A585" t="s">
        <v>163</v>
      </c>
      <c r="B585">
        <v>17</v>
      </c>
      <c r="C585">
        <v>11</v>
      </c>
      <c r="D585">
        <v>2</v>
      </c>
      <c r="E585">
        <v>3</v>
      </c>
      <c r="F585">
        <v>11</v>
      </c>
      <c r="G585">
        <v>37</v>
      </c>
      <c r="H585" t="s">
        <v>643</v>
      </c>
      <c r="I585" t="s">
        <v>619</v>
      </c>
      <c r="J585" t="s">
        <v>614</v>
      </c>
      <c r="K585" t="s">
        <v>644</v>
      </c>
      <c r="L585">
        <v>2025</v>
      </c>
      <c r="M585" t="s">
        <v>24</v>
      </c>
      <c r="N585">
        <v>1301.83</v>
      </c>
      <c r="O585">
        <v>17.399999999999999</v>
      </c>
      <c r="P585">
        <v>21.0096373925868</v>
      </c>
      <c r="Q585">
        <v>2.9981810000000002</v>
      </c>
      <c r="R585" s="3">
        <v>32.272120465900002</v>
      </c>
      <c r="S585">
        <v>39.021844463003227</v>
      </c>
      <c r="T585" s="3">
        <f t="shared" si="24"/>
        <v>39.021844463003227</v>
      </c>
      <c r="U585">
        <f t="shared" si="25"/>
        <v>18.012207070416427</v>
      </c>
    </row>
    <row r="586" spans="1:21" hidden="1" x14ac:dyDescent="0.25">
      <c r="A586" t="s">
        <v>191</v>
      </c>
      <c r="B586">
        <v>17</v>
      </c>
      <c r="C586">
        <v>15</v>
      </c>
      <c r="D586">
        <v>3</v>
      </c>
      <c r="E586">
        <v>1</v>
      </c>
      <c r="F586">
        <v>17</v>
      </c>
      <c r="G586">
        <v>36</v>
      </c>
      <c r="H586" t="s">
        <v>632</v>
      </c>
      <c r="I586" t="s">
        <v>619</v>
      </c>
      <c r="J586" t="s">
        <v>614</v>
      </c>
      <c r="K586" t="s">
        <v>633</v>
      </c>
      <c r="L586">
        <v>2025</v>
      </c>
      <c r="M586" t="s">
        <v>24</v>
      </c>
      <c r="N586">
        <v>1401.62</v>
      </c>
      <c r="O586">
        <v>16.8</v>
      </c>
      <c r="P586">
        <v>22.7844131135911</v>
      </c>
      <c r="Q586">
        <v>3.291731</v>
      </c>
      <c r="R586" s="3">
        <v>35.431863310899999</v>
      </c>
      <c r="S586">
        <v>38.544338186372357</v>
      </c>
      <c r="T586" s="3">
        <f t="shared" si="24"/>
        <v>38.544338186372357</v>
      </c>
      <c r="U586">
        <f t="shared" si="25"/>
        <v>15.759925072781257</v>
      </c>
    </row>
    <row r="587" spans="1:21" hidden="1" x14ac:dyDescent="0.25">
      <c r="A587" t="s">
        <v>183</v>
      </c>
      <c r="B587">
        <v>19</v>
      </c>
      <c r="C587">
        <v>21</v>
      </c>
      <c r="D587">
        <v>2</v>
      </c>
      <c r="E587">
        <v>8</v>
      </c>
      <c r="F587">
        <v>16</v>
      </c>
      <c r="G587">
        <v>36</v>
      </c>
      <c r="H587" t="s">
        <v>602</v>
      </c>
      <c r="I587" t="s">
        <v>603</v>
      </c>
      <c r="J587" t="s">
        <v>614</v>
      </c>
      <c r="K587" t="s">
        <v>604</v>
      </c>
      <c r="L587">
        <v>2025</v>
      </c>
      <c r="M587" t="s">
        <v>24</v>
      </c>
      <c r="N587">
        <v>1510.49</v>
      </c>
      <c r="O587">
        <v>17.3</v>
      </c>
      <c r="P587">
        <v>24.4066176820129</v>
      </c>
      <c r="Q587">
        <v>3.5354009999999998</v>
      </c>
      <c r="R587" s="3">
        <v>38.054702823899987</v>
      </c>
      <c r="S587">
        <v>38.442887614433509</v>
      </c>
      <c r="T587" s="3">
        <f t="shared" si="24"/>
        <v>38.442887614433509</v>
      </c>
      <c r="U587">
        <f t="shared" si="25"/>
        <v>14.036269932420609</v>
      </c>
    </row>
    <row r="588" spans="1:21" hidden="1" x14ac:dyDescent="0.25">
      <c r="A588" t="s">
        <v>201</v>
      </c>
      <c r="B588">
        <v>23</v>
      </c>
      <c r="C588">
        <v>1</v>
      </c>
      <c r="D588">
        <v>3</v>
      </c>
      <c r="E588">
        <v>4</v>
      </c>
      <c r="F588">
        <v>20</v>
      </c>
      <c r="G588">
        <v>35</v>
      </c>
      <c r="H588" t="s">
        <v>666</v>
      </c>
      <c r="I588" t="s">
        <v>616</v>
      </c>
      <c r="J588" t="s">
        <v>614</v>
      </c>
      <c r="K588" t="s">
        <v>667</v>
      </c>
      <c r="L588">
        <v>2025</v>
      </c>
      <c r="M588" t="s">
        <v>24</v>
      </c>
      <c r="N588">
        <v>1406.16</v>
      </c>
      <c r="O588">
        <v>16.5</v>
      </c>
      <c r="P588">
        <v>22.9406357577089</v>
      </c>
      <c r="Q588">
        <v>3.3472390000000001</v>
      </c>
      <c r="R588" s="3">
        <v>36.029345872100002</v>
      </c>
      <c r="S588">
        <v>38.165047797381142</v>
      </c>
      <c r="T588" s="3">
        <f t="shared" si="24"/>
        <v>38.165047797381142</v>
      </c>
      <c r="U588">
        <f t="shared" si="25"/>
        <v>15.224412039672242</v>
      </c>
    </row>
    <row r="589" spans="1:21" hidden="1" x14ac:dyDescent="0.25">
      <c r="A589" t="s">
        <v>53</v>
      </c>
      <c r="B589">
        <v>9</v>
      </c>
      <c r="C589">
        <v>12</v>
      </c>
      <c r="D589">
        <v>1</v>
      </c>
      <c r="E589">
        <v>3</v>
      </c>
      <c r="F589">
        <v>3</v>
      </c>
      <c r="G589">
        <v>36</v>
      </c>
      <c r="H589" t="s">
        <v>625</v>
      </c>
      <c r="I589" t="s">
        <v>619</v>
      </c>
      <c r="J589" t="s">
        <v>614</v>
      </c>
      <c r="K589" t="s">
        <v>626</v>
      </c>
      <c r="L589">
        <v>2025</v>
      </c>
      <c r="M589" t="s">
        <v>24</v>
      </c>
      <c r="N589">
        <v>1261.01</v>
      </c>
      <c r="O589">
        <v>16.5</v>
      </c>
      <c r="P589">
        <v>20.572602759876901</v>
      </c>
      <c r="Q589">
        <v>2.0740069999999999</v>
      </c>
      <c r="R589" s="3">
        <v>32.324403947299999</v>
      </c>
      <c r="S589">
        <v>38.148323212314743</v>
      </c>
      <c r="T589" s="3">
        <f t="shared" si="24"/>
        <v>38.148323212314743</v>
      </c>
      <c r="U589">
        <f t="shared" si="25"/>
        <v>17.575720452437842</v>
      </c>
    </row>
    <row r="590" spans="1:21" hidden="1" x14ac:dyDescent="0.25">
      <c r="A590" t="s">
        <v>57</v>
      </c>
      <c r="B590">
        <v>8</v>
      </c>
      <c r="C590">
        <v>5</v>
      </c>
      <c r="D590">
        <v>1</v>
      </c>
      <c r="E590">
        <v>3</v>
      </c>
      <c r="F590">
        <v>3</v>
      </c>
      <c r="G590">
        <v>37</v>
      </c>
      <c r="H590" t="s">
        <v>627</v>
      </c>
      <c r="I590" t="s">
        <v>616</v>
      </c>
      <c r="J590" t="s">
        <v>614</v>
      </c>
      <c r="K590" t="s">
        <v>628</v>
      </c>
      <c r="L590">
        <v>2025</v>
      </c>
      <c r="M590" t="s">
        <v>24</v>
      </c>
      <c r="N590">
        <v>1215.6500000000001</v>
      </c>
      <c r="O590">
        <v>16.5</v>
      </c>
      <c r="P590">
        <v>19.8325822515637</v>
      </c>
      <c r="Q590">
        <v>1.9766790000000001</v>
      </c>
      <c r="R590" s="3">
        <v>31.276775088099999</v>
      </c>
      <c r="S590">
        <v>38.007914077146154</v>
      </c>
      <c r="T590" s="3">
        <f t="shared" si="24"/>
        <v>38.007914077146154</v>
      </c>
      <c r="U590">
        <f t="shared" si="25"/>
        <v>18.175331825582454</v>
      </c>
    </row>
    <row r="591" spans="1:21" hidden="1" x14ac:dyDescent="0.25">
      <c r="A591" t="s">
        <v>64</v>
      </c>
      <c r="B591">
        <v>10</v>
      </c>
      <c r="C591">
        <v>15</v>
      </c>
      <c r="D591">
        <v>1</v>
      </c>
      <c r="E591">
        <v>4</v>
      </c>
      <c r="F591">
        <v>4</v>
      </c>
      <c r="G591">
        <v>35</v>
      </c>
      <c r="H591" t="s">
        <v>632</v>
      </c>
      <c r="I591" t="s">
        <v>619</v>
      </c>
      <c r="J591" t="s">
        <v>614</v>
      </c>
      <c r="K591" t="s">
        <v>633</v>
      </c>
      <c r="L591">
        <v>2025</v>
      </c>
      <c r="M591" t="s">
        <v>24</v>
      </c>
      <c r="N591">
        <v>1283.69</v>
      </c>
      <c r="O591">
        <v>15.8</v>
      </c>
      <c r="P591">
        <v>21.118179829719999</v>
      </c>
      <c r="Q591">
        <v>2.1680229999999998</v>
      </c>
      <c r="R591" s="3">
        <v>33.336382769700002</v>
      </c>
      <c r="S591">
        <v>37.971237243650414</v>
      </c>
      <c r="T591" s="3">
        <f t="shared" si="24"/>
        <v>37.971237243650414</v>
      </c>
      <c r="U591">
        <f t="shared" si="25"/>
        <v>16.853057413930415</v>
      </c>
    </row>
    <row r="592" spans="1:21" hidden="1" x14ac:dyDescent="0.25">
      <c r="A592" t="s">
        <v>216</v>
      </c>
      <c r="B592">
        <v>7</v>
      </c>
      <c r="C592">
        <v>23</v>
      </c>
      <c r="D592">
        <v>3</v>
      </c>
      <c r="E592">
        <v>7</v>
      </c>
      <c r="F592">
        <v>23</v>
      </c>
      <c r="G592">
        <v>38</v>
      </c>
      <c r="H592" t="s">
        <v>575</v>
      </c>
      <c r="I592" t="s">
        <v>576</v>
      </c>
      <c r="J592" t="s">
        <v>614</v>
      </c>
      <c r="K592" t="s">
        <v>577</v>
      </c>
      <c r="L592">
        <v>2025</v>
      </c>
      <c r="M592" t="s">
        <v>24</v>
      </c>
      <c r="N592">
        <v>1424.3</v>
      </c>
      <c r="O592">
        <v>16.2</v>
      </c>
      <c r="P592">
        <v>23.3200634173986</v>
      </c>
      <c r="Q592">
        <v>1.5964449999999999</v>
      </c>
      <c r="R592" s="3">
        <v>37.183974335499997</v>
      </c>
      <c r="S592">
        <v>37.591586865537614</v>
      </c>
      <c r="T592" s="3">
        <f t="shared" si="24"/>
        <v>37.591586865537614</v>
      </c>
      <c r="U592">
        <f t="shared" si="25"/>
        <v>14.271523448139014</v>
      </c>
    </row>
    <row r="593" spans="1:21" hidden="1" x14ac:dyDescent="0.25">
      <c r="A593" t="s">
        <v>219</v>
      </c>
      <c r="B593">
        <v>4</v>
      </c>
      <c r="C593">
        <v>24</v>
      </c>
      <c r="D593">
        <v>3</v>
      </c>
      <c r="E593">
        <v>8</v>
      </c>
      <c r="F593">
        <v>24</v>
      </c>
      <c r="G593">
        <v>37</v>
      </c>
      <c r="H593" t="s">
        <v>584</v>
      </c>
      <c r="I593" t="s">
        <v>585</v>
      </c>
      <c r="J593" t="s">
        <v>614</v>
      </c>
      <c r="K593" t="s">
        <v>586</v>
      </c>
      <c r="L593">
        <v>2025</v>
      </c>
      <c r="M593" t="s">
        <v>24</v>
      </c>
      <c r="N593">
        <v>1560.38</v>
      </c>
      <c r="O593">
        <v>15.2</v>
      </c>
      <c r="P593">
        <v>25.8529711541455</v>
      </c>
      <c r="Q593">
        <v>1.093205</v>
      </c>
      <c r="R593" s="3">
        <v>41.767149299499998</v>
      </c>
      <c r="S593">
        <v>37.101576645022121</v>
      </c>
      <c r="T593" s="3">
        <f t="shared" si="24"/>
        <v>37.101576645022121</v>
      </c>
      <c r="U593">
        <f t="shared" si="25"/>
        <v>11.248605490876621</v>
      </c>
    </row>
    <row r="594" spans="1:21" hidden="1" x14ac:dyDescent="0.25">
      <c r="A594" t="s">
        <v>203</v>
      </c>
      <c r="B594">
        <v>34</v>
      </c>
      <c r="C594">
        <v>17</v>
      </c>
      <c r="D594">
        <v>3</v>
      </c>
      <c r="E594">
        <v>4</v>
      </c>
      <c r="F594">
        <v>20</v>
      </c>
      <c r="G594">
        <v>37</v>
      </c>
      <c r="H594" t="s">
        <v>629</v>
      </c>
      <c r="I594" t="s">
        <v>630</v>
      </c>
      <c r="J594" t="s">
        <v>614</v>
      </c>
      <c r="K594" t="s">
        <v>631</v>
      </c>
      <c r="L594">
        <v>2025</v>
      </c>
      <c r="M594" t="s">
        <v>24</v>
      </c>
      <c r="N594">
        <v>1714.93</v>
      </c>
      <c r="O594">
        <v>15.8</v>
      </c>
      <c r="P594">
        <v>28.212574792498</v>
      </c>
      <c r="Q594">
        <v>4.35039</v>
      </c>
      <c r="R594" s="3">
        <v>46.827162921000003</v>
      </c>
      <c r="S594">
        <v>36.112837668924008</v>
      </c>
      <c r="T594" s="3">
        <f t="shared" si="24"/>
        <v>36.112837668924008</v>
      </c>
      <c r="U594">
        <f t="shared" si="25"/>
        <v>7.9002628764260088</v>
      </c>
    </row>
    <row r="595" spans="1:21" hidden="1" x14ac:dyDescent="0.25">
      <c r="A595" t="s">
        <v>161</v>
      </c>
      <c r="B595">
        <v>8</v>
      </c>
      <c r="C595">
        <v>9</v>
      </c>
      <c r="D595">
        <v>2</v>
      </c>
      <c r="E595">
        <v>3</v>
      </c>
      <c r="F595">
        <v>11</v>
      </c>
      <c r="G595">
        <v>35</v>
      </c>
      <c r="H595" t="s">
        <v>640</v>
      </c>
      <c r="I595" t="s">
        <v>641</v>
      </c>
      <c r="J595" t="s">
        <v>614</v>
      </c>
      <c r="K595" t="s">
        <v>642</v>
      </c>
      <c r="L595">
        <v>2025</v>
      </c>
      <c r="M595" t="s">
        <v>24</v>
      </c>
      <c r="N595">
        <v>1464</v>
      </c>
      <c r="O595">
        <v>15.5</v>
      </c>
      <c r="P595">
        <v>24.170298831545399</v>
      </c>
      <c r="Q595">
        <v>1.9513320000000001</v>
      </c>
      <c r="R595" s="3">
        <v>41.003942514800002</v>
      </c>
      <c r="S595">
        <v>35.332400328088312</v>
      </c>
      <c r="T595" s="3">
        <f t="shared" si="24"/>
        <v>35.332400328088312</v>
      </c>
      <c r="U595">
        <f t="shared" si="25"/>
        <v>11.162101496542913</v>
      </c>
    </row>
    <row r="596" spans="1:21" hidden="1" x14ac:dyDescent="0.25">
      <c r="A596" t="s">
        <v>99</v>
      </c>
      <c r="B596">
        <v>12</v>
      </c>
      <c r="C596">
        <v>11</v>
      </c>
      <c r="D596">
        <v>1</v>
      </c>
      <c r="E596">
        <v>6</v>
      </c>
      <c r="F596">
        <v>6</v>
      </c>
      <c r="G596">
        <v>37</v>
      </c>
      <c r="H596" t="s">
        <v>643</v>
      </c>
      <c r="I596" t="s">
        <v>619</v>
      </c>
      <c r="J596" t="s">
        <v>614</v>
      </c>
      <c r="K596" t="s">
        <v>644</v>
      </c>
      <c r="L596">
        <v>2025</v>
      </c>
      <c r="M596" t="s">
        <v>24</v>
      </c>
      <c r="N596">
        <v>839.16</v>
      </c>
      <c r="O596">
        <v>17.100000000000001</v>
      </c>
      <c r="P596">
        <v>13.5920054200542</v>
      </c>
      <c r="Q596">
        <v>2.173638</v>
      </c>
      <c r="R596" s="3">
        <v>23.396822068199999</v>
      </c>
      <c r="S596">
        <v>34.821173683470541</v>
      </c>
      <c r="T596" s="3">
        <f t="shared" si="24"/>
        <v>34.821173683470541</v>
      </c>
      <c r="U596">
        <f t="shared" si="25"/>
        <v>21.229168263416341</v>
      </c>
    </row>
    <row r="597" spans="1:21" hidden="1" x14ac:dyDescent="0.25">
      <c r="A597" t="s">
        <v>217</v>
      </c>
      <c r="B597">
        <v>21</v>
      </c>
      <c r="C597">
        <v>19</v>
      </c>
      <c r="D597">
        <v>3</v>
      </c>
      <c r="E597">
        <v>8</v>
      </c>
      <c r="F597">
        <v>24</v>
      </c>
      <c r="G597">
        <v>35</v>
      </c>
      <c r="H597" t="s">
        <v>668</v>
      </c>
      <c r="I597" t="s">
        <v>654</v>
      </c>
      <c r="J597" t="s">
        <v>614</v>
      </c>
      <c r="K597" t="s">
        <v>669</v>
      </c>
      <c r="L597">
        <v>2025</v>
      </c>
      <c r="M597" t="s">
        <v>24</v>
      </c>
      <c r="N597">
        <v>1057.21</v>
      </c>
      <c r="O597">
        <v>14.6</v>
      </c>
      <c r="P597">
        <v>17.6401944175431</v>
      </c>
      <c r="Q597">
        <v>2.8811179999999998</v>
      </c>
      <c r="R597" s="3">
        <v>31.012066040200001</v>
      </c>
      <c r="S597">
        <v>34.094898805417188</v>
      </c>
      <c r="T597" s="3">
        <f t="shared" si="24"/>
        <v>34.094898805417188</v>
      </c>
      <c r="U597">
        <f t="shared" si="25"/>
        <v>16.454704387874088</v>
      </c>
    </row>
    <row r="598" spans="1:21" hidden="1" x14ac:dyDescent="0.25">
      <c r="A598" t="s">
        <v>190</v>
      </c>
      <c r="B598">
        <v>28</v>
      </c>
      <c r="C598">
        <v>26</v>
      </c>
      <c r="D598">
        <v>3</v>
      </c>
      <c r="E598">
        <v>1</v>
      </c>
      <c r="F598">
        <v>17</v>
      </c>
      <c r="G598">
        <v>35</v>
      </c>
      <c r="H598" t="s">
        <v>578</v>
      </c>
      <c r="I598" t="s">
        <v>579</v>
      </c>
      <c r="J598" t="s">
        <v>614</v>
      </c>
      <c r="K598" t="s">
        <v>580</v>
      </c>
      <c r="L598">
        <v>2025</v>
      </c>
      <c r="M598" t="s">
        <v>24</v>
      </c>
      <c r="N598">
        <v>1211.1099999999999</v>
      </c>
      <c r="O598">
        <v>15.3</v>
      </c>
      <c r="P598">
        <v>20.042469648962399</v>
      </c>
      <c r="Q598">
        <v>3.290095</v>
      </c>
      <c r="R598" s="3">
        <v>35.414253570500001</v>
      </c>
      <c r="S598">
        <v>33.922658524123911</v>
      </c>
      <c r="T598" s="3">
        <f t="shared" si="24"/>
        <v>33.922658524123911</v>
      </c>
      <c r="U598">
        <f t="shared" si="25"/>
        <v>13.880188875161512</v>
      </c>
    </row>
    <row r="599" spans="1:21" hidden="1" x14ac:dyDescent="0.25">
      <c r="A599" t="s">
        <v>174</v>
      </c>
      <c r="B599">
        <v>10</v>
      </c>
      <c r="C599">
        <v>7</v>
      </c>
      <c r="D599">
        <v>2</v>
      </c>
      <c r="E599">
        <v>5</v>
      </c>
      <c r="F599">
        <v>13</v>
      </c>
      <c r="G599">
        <v>38</v>
      </c>
      <c r="H599" t="s">
        <v>650</v>
      </c>
      <c r="I599" t="s">
        <v>651</v>
      </c>
      <c r="J599" t="s">
        <v>614</v>
      </c>
      <c r="K599" t="s">
        <v>652</v>
      </c>
      <c r="L599">
        <v>2025</v>
      </c>
      <c r="M599" t="s">
        <v>24</v>
      </c>
      <c r="N599">
        <v>1415.23</v>
      </c>
      <c r="O599">
        <v>17.100000000000001</v>
      </c>
      <c r="P599">
        <v>22.922701070860501</v>
      </c>
      <c r="Q599">
        <v>2.0374919999999999</v>
      </c>
      <c r="R599" s="3">
        <v>41.931360138800002</v>
      </c>
      <c r="S599">
        <v>32.767520482026981</v>
      </c>
      <c r="T599" s="3">
        <f t="shared" si="24"/>
        <v>32.767520482026981</v>
      </c>
      <c r="U599">
        <f t="shared" si="25"/>
        <v>9.8448194111664797</v>
      </c>
    </row>
    <row r="600" spans="1:21" hidden="1" x14ac:dyDescent="0.25">
      <c r="A600" t="s">
        <v>157</v>
      </c>
      <c r="B600">
        <v>25</v>
      </c>
      <c r="C600">
        <v>22</v>
      </c>
      <c r="D600">
        <v>2</v>
      </c>
      <c r="E600">
        <v>2</v>
      </c>
      <c r="F600">
        <v>10</v>
      </c>
      <c r="G600">
        <v>35</v>
      </c>
      <c r="H600" t="s">
        <v>587</v>
      </c>
      <c r="I600" t="s">
        <v>588</v>
      </c>
      <c r="J600" t="s">
        <v>614</v>
      </c>
      <c r="K600" t="s">
        <v>589</v>
      </c>
      <c r="L600">
        <v>2025</v>
      </c>
      <c r="M600" t="s">
        <v>24</v>
      </c>
      <c r="N600">
        <v>1456.06</v>
      </c>
      <c r="O600">
        <v>15</v>
      </c>
      <c r="P600">
        <v>24.181455135610499</v>
      </c>
      <c r="Q600">
        <v>4.1226729999999998</v>
      </c>
      <c r="R600" s="3">
        <v>44.376039904699986</v>
      </c>
      <c r="S600">
        <v>32.662590531765325</v>
      </c>
      <c r="T600" s="3">
        <f t="shared" si="24"/>
        <v>32.662590531765325</v>
      </c>
      <c r="U600">
        <f t="shared" si="25"/>
        <v>8.4811353961548264</v>
      </c>
    </row>
    <row r="601" spans="1:21" hidden="1" x14ac:dyDescent="0.25">
      <c r="A601" t="s">
        <v>134</v>
      </c>
      <c r="B601">
        <v>6</v>
      </c>
      <c r="C601">
        <v>7</v>
      </c>
      <c r="D601">
        <v>1</v>
      </c>
      <c r="E601">
        <v>8</v>
      </c>
      <c r="F601">
        <v>8</v>
      </c>
      <c r="G601">
        <v>38</v>
      </c>
      <c r="H601" t="s">
        <v>650</v>
      </c>
      <c r="I601" t="s">
        <v>651</v>
      </c>
      <c r="J601" t="s">
        <v>614</v>
      </c>
      <c r="K601" t="s">
        <v>652</v>
      </c>
      <c r="L601">
        <v>2025</v>
      </c>
      <c r="M601" t="s">
        <v>24</v>
      </c>
      <c r="N601">
        <v>1179.3599999999999</v>
      </c>
      <c r="O601">
        <v>15.7</v>
      </c>
      <c r="P601">
        <v>19.424873654141901</v>
      </c>
      <c r="Q601">
        <v>1.4868300000000001</v>
      </c>
      <c r="R601" s="3">
        <v>36.004089436999998</v>
      </c>
      <c r="S601">
        <v>32.338741099580062</v>
      </c>
      <c r="T601" s="3">
        <f t="shared" si="24"/>
        <v>32.338741099580062</v>
      </c>
      <c r="U601">
        <f t="shared" si="25"/>
        <v>12.913867445438161</v>
      </c>
    </row>
    <row r="602" spans="1:21" hidden="1" x14ac:dyDescent="0.25">
      <c r="A602" t="s">
        <v>194</v>
      </c>
      <c r="B602">
        <v>8</v>
      </c>
      <c r="C602">
        <v>13</v>
      </c>
      <c r="D602">
        <v>3</v>
      </c>
      <c r="E602">
        <v>2</v>
      </c>
      <c r="F602">
        <v>18</v>
      </c>
      <c r="G602">
        <v>35</v>
      </c>
      <c r="H602" t="s">
        <v>658</v>
      </c>
      <c r="I602" t="s">
        <v>619</v>
      </c>
      <c r="J602" t="s">
        <v>614</v>
      </c>
      <c r="K602" t="s">
        <v>659</v>
      </c>
      <c r="L602">
        <v>2025</v>
      </c>
      <c r="M602" t="s">
        <v>24</v>
      </c>
      <c r="N602">
        <v>1129.46</v>
      </c>
      <c r="O602">
        <v>16.3</v>
      </c>
      <c r="P602">
        <v>18.470580598019598</v>
      </c>
      <c r="Q602">
        <v>1.353974</v>
      </c>
      <c r="R602" s="3">
        <v>34.574040738599997</v>
      </c>
      <c r="S602">
        <v>32.021903641978724</v>
      </c>
      <c r="T602" s="3">
        <f t="shared" si="24"/>
        <v>32.021903641978724</v>
      </c>
      <c r="U602">
        <f t="shared" si="25"/>
        <v>13.551323043959126</v>
      </c>
    </row>
    <row r="603" spans="1:21" hidden="1" x14ac:dyDescent="0.25">
      <c r="A603" t="s">
        <v>207</v>
      </c>
      <c r="B603">
        <v>14</v>
      </c>
      <c r="C603">
        <v>7</v>
      </c>
      <c r="D603">
        <v>3</v>
      </c>
      <c r="E603">
        <v>5</v>
      </c>
      <c r="F603">
        <v>21</v>
      </c>
      <c r="G603">
        <v>37</v>
      </c>
      <c r="H603" t="s">
        <v>650</v>
      </c>
      <c r="I603" t="s">
        <v>651</v>
      </c>
      <c r="J603" t="s">
        <v>614</v>
      </c>
      <c r="K603" t="s">
        <v>652</v>
      </c>
      <c r="L603">
        <v>2025</v>
      </c>
      <c r="M603" t="s">
        <v>24</v>
      </c>
      <c r="N603">
        <v>1134</v>
      </c>
      <c r="O603">
        <v>15.9</v>
      </c>
      <c r="P603">
        <v>18.6334505236944</v>
      </c>
      <c r="Q603">
        <v>3.2757849999999999</v>
      </c>
      <c r="R603" s="3">
        <v>35.260222161500003</v>
      </c>
      <c r="S603">
        <v>31.675609395613925</v>
      </c>
      <c r="T603" s="3">
        <f t="shared" si="24"/>
        <v>31.675609395613925</v>
      </c>
      <c r="U603">
        <f t="shared" si="25"/>
        <v>13.042158871919526</v>
      </c>
    </row>
    <row r="604" spans="1:21" hidden="1" x14ac:dyDescent="0.25">
      <c r="A604" t="s">
        <v>210</v>
      </c>
      <c r="B604">
        <v>7</v>
      </c>
      <c r="C604">
        <v>2</v>
      </c>
      <c r="D604">
        <v>3</v>
      </c>
      <c r="E604">
        <v>6</v>
      </c>
      <c r="F604">
        <v>22</v>
      </c>
      <c r="G604">
        <v>36</v>
      </c>
      <c r="H604" t="s">
        <v>615</v>
      </c>
      <c r="I604" t="s">
        <v>616</v>
      </c>
      <c r="J604" t="s">
        <v>614</v>
      </c>
      <c r="K604" t="s">
        <v>617</v>
      </c>
      <c r="L604">
        <v>2025</v>
      </c>
      <c r="M604" t="s">
        <v>24</v>
      </c>
      <c r="N604">
        <v>1261.01</v>
      </c>
      <c r="O604">
        <v>17.100000000000001</v>
      </c>
      <c r="P604">
        <v>20.424775674177202</v>
      </c>
      <c r="Q604">
        <v>1.767155</v>
      </c>
      <c r="R604" s="3">
        <v>39.021479704500003</v>
      </c>
      <c r="S604">
        <v>31.374029462265593</v>
      </c>
      <c r="T604" s="3">
        <f t="shared" si="24"/>
        <v>31.374029462265593</v>
      </c>
      <c r="U604">
        <f t="shared" si="25"/>
        <v>10.949253788088392</v>
      </c>
    </row>
    <row r="605" spans="1:21" hidden="1" x14ac:dyDescent="0.25">
      <c r="A605" t="s">
        <v>215</v>
      </c>
      <c r="B605">
        <v>38</v>
      </c>
      <c r="C605">
        <v>14</v>
      </c>
      <c r="D605">
        <v>3</v>
      </c>
      <c r="E605">
        <v>7</v>
      </c>
      <c r="F605">
        <v>23</v>
      </c>
      <c r="G605">
        <v>37</v>
      </c>
      <c r="H605" t="s">
        <v>623</v>
      </c>
      <c r="I605" t="s">
        <v>619</v>
      </c>
      <c r="J605" t="s">
        <v>614</v>
      </c>
      <c r="K605" t="s">
        <v>624</v>
      </c>
      <c r="L605">
        <v>2025</v>
      </c>
      <c r="M605" t="s">
        <v>24</v>
      </c>
      <c r="N605">
        <v>1429.16</v>
      </c>
      <c r="O605">
        <v>14.6</v>
      </c>
      <c r="P605">
        <v>23.846407292568099</v>
      </c>
      <c r="Q605">
        <v>4.2859170000000004</v>
      </c>
      <c r="R605" s="3">
        <v>46.133181996300003</v>
      </c>
      <c r="S605">
        <v>30.983201055395853</v>
      </c>
      <c r="T605" s="3">
        <f t="shared" si="24"/>
        <v>30.983201055395853</v>
      </c>
      <c r="U605">
        <f t="shared" si="25"/>
        <v>7.1367937628277538</v>
      </c>
    </row>
    <row r="606" spans="1:21" hidden="1" x14ac:dyDescent="0.25">
      <c r="A606" t="s">
        <v>110</v>
      </c>
      <c r="B606">
        <v>20</v>
      </c>
      <c r="C606">
        <v>22</v>
      </c>
      <c r="D606">
        <v>1</v>
      </c>
      <c r="E606">
        <v>7</v>
      </c>
      <c r="F606">
        <v>7</v>
      </c>
      <c r="G606">
        <v>36</v>
      </c>
      <c r="H606" t="s">
        <v>587</v>
      </c>
      <c r="I606" t="s">
        <v>588</v>
      </c>
      <c r="J606" t="s">
        <v>614</v>
      </c>
      <c r="K606" t="s">
        <v>589</v>
      </c>
      <c r="L606">
        <v>2025</v>
      </c>
      <c r="M606" t="s">
        <v>24</v>
      </c>
      <c r="N606">
        <v>1183.9000000000001</v>
      </c>
      <c r="O606">
        <v>16</v>
      </c>
      <c r="P606">
        <v>19.4302568150807</v>
      </c>
      <c r="Q606">
        <v>3.5334479999999999</v>
      </c>
      <c r="R606" s="3">
        <v>38.033680927200002</v>
      </c>
      <c r="S606">
        <v>30.621532418205394</v>
      </c>
      <c r="T606" s="3">
        <f t="shared" si="24"/>
        <v>30.621532418205394</v>
      </c>
      <c r="U606">
        <f t="shared" si="25"/>
        <v>11.191275603124694</v>
      </c>
    </row>
    <row r="607" spans="1:21" hidden="1" x14ac:dyDescent="0.25">
      <c r="A607" t="s">
        <v>179</v>
      </c>
      <c r="B607">
        <v>20</v>
      </c>
      <c r="C607">
        <v>15</v>
      </c>
      <c r="D607">
        <v>2</v>
      </c>
      <c r="E607">
        <v>7</v>
      </c>
      <c r="F607">
        <v>15</v>
      </c>
      <c r="G607">
        <v>35</v>
      </c>
      <c r="H607" t="s">
        <v>632</v>
      </c>
      <c r="I607" t="s">
        <v>619</v>
      </c>
      <c r="J607" t="s">
        <v>614</v>
      </c>
      <c r="K607" t="s">
        <v>633</v>
      </c>
      <c r="L607">
        <v>2025</v>
      </c>
      <c r="M607" t="s">
        <v>24</v>
      </c>
      <c r="N607">
        <v>1310.9</v>
      </c>
      <c r="O607">
        <v>15.5</v>
      </c>
      <c r="P607">
        <v>21.642653509749302</v>
      </c>
      <c r="Q607">
        <v>3.974208</v>
      </c>
      <c r="R607" s="3">
        <v>42.777977491199998</v>
      </c>
      <c r="S607">
        <v>30.325432090407617</v>
      </c>
      <c r="T607" s="3">
        <f t="shared" si="24"/>
        <v>30.325432090407617</v>
      </c>
      <c r="U607">
        <f t="shared" si="25"/>
        <v>8.6827785806583151</v>
      </c>
    </row>
    <row r="608" spans="1:21" hidden="1" x14ac:dyDescent="0.25">
      <c r="A608" t="s">
        <v>122</v>
      </c>
      <c r="B608">
        <v>4</v>
      </c>
      <c r="C608">
        <v>6</v>
      </c>
      <c r="D608">
        <v>1</v>
      </c>
      <c r="E608">
        <v>8</v>
      </c>
      <c r="F608">
        <v>8</v>
      </c>
      <c r="G608">
        <v>35</v>
      </c>
      <c r="H608" t="s">
        <v>645</v>
      </c>
      <c r="I608" t="s">
        <v>646</v>
      </c>
      <c r="J608" t="s">
        <v>614</v>
      </c>
      <c r="K608" t="s">
        <v>647</v>
      </c>
      <c r="L608">
        <v>2025</v>
      </c>
      <c r="M608" t="s">
        <v>24</v>
      </c>
      <c r="N608">
        <v>961.63</v>
      </c>
      <c r="O608">
        <v>17.100000000000001</v>
      </c>
      <c r="P608">
        <v>15.575671114074501</v>
      </c>
      <c r="Q608">
        <v>1.058603</v>
      </c>
      <c r="R608" s="3">
        <v>31.394696831699999</v>
      </c>
      <c r="S608">
        <v>29.737688870909498</v>
      </c>
      <c r="T608" s="3">
        <f t="shared" si="24"/>
        <v>29.737688870909498</v>
      </c>
      <c r="U608">
        <f t="shared" si="25"/>
        <v>14.162017756834997</v>
      </c>
    </row>
    <row r="609" spans="1:21" hidden="1" x14ac:dyDescent="0.25">
      <c r="A609" t="s">
        <v>162</v>
      </c>
      <c r="B609">
        <v>8</v>
      </c>
      <c r="C609">
        <v>29</v>
      </c>
      <c r="D609">
        <v>2</v>
      </c>
      <c r="E609">
        <v>3</v>
      </c>
      <c r="F609">
        <v>11</v>
      </c>
      <c r="G609">
        <v>36</v>
      </c>
      <c r="H609" t="s">
        <v>656</v>
      </c>
      <c r="I609" t="s">
        <v>657</v>
      </c>
      <c r="J609" t="s">
        <v>614</v>
      </c>
      <c r="L609">
        <v>2025</v>
      </c>
      <c r="M609" t="s">
        <v>24</v>
      </c>
      <c r="N609">
        <v>594.22</v>
      </c>
      <c r="O609">
        <v>10.6</v>
      </c>
      <c r="P609">
        <v>10.379322780000299</v>
      </c>
      <c r="Q609">
        <v>1.948016</v>
      </c>
      <c r="R609" s="3">
        <v>20.9682494224</v>
      </c>
      <c r="S609">
        <v>29.670412388770998</v>
      </c>
      <c r="T609" s="3">
        <f t="shared" si="24"/>
        <v>29.670412388770998</v>
      </c>
      <c r="U609">
        <f t="shared" si="25"/>
        <v>19.291089608770697</v>
      </c>
    </row>
    <row r="610" spans="1:21" hidden="1" x14ac:dyDescent="0.25">
      <c r="A610" t="s">
        <v>198</v>
      </c>
      <c r="B610">
        <v>16</v>
      </c>
      <c r="C610">
        <v>27</v>
      </c>
      <c r="D610">
        <v>3</v>
      </c>
      <c r="E610">
        <v>3</v>
      </c>
      <c r="F610">
        <v>19</v>
      </c>
      <c r="G610">
        <v>36</v>
      </c>
      <c r="H610" t="s">
        <v>634</v>
      </c>
      <c r="I610" t="s">
        <v>635</v>
      </c>
      <c r="J610" t="s">
        <v>614</v>
      </c>
      <c r="K610" t="s">
        <v>636</v>
      </c>
      <c r="L610">
        <v>2025</v>
      </c>
      <c r="M610" t="s">
        <v>24</v>
      </c>
      <c r="N610">
        <v>889.06</v>
      </c>
      <c r="O610">
        <v>13.5</v>
      </c>
      <c r="P610">
        <v>15.025585803250699</v>
      </c>
      <c r="Q610">
        <v>2.834219</v>
      </c>
      <c r="R610" s="3">
        <v>30.507249894099999</v>
      </c>
      <c r="S610">
        <v>29.521953508533862</v>
      </c>
      <c r="T610" s="3">
        <f t="shared" ref="T610:T673" si="26">IF(N610&lt;= 0, -9, N610/ 453.6 / (R610/ 43560) * ((100 - O610) / (100 - 18)) / 100)</f>
        <v>29.521953508533862</v>
      </c>
      <c r="U610">
        <f t="shared" ref="U610:U673" si="27">T610-P610</f>
        <v>14.496367705283163</v>
      </c>
    </row>
    <row r="611" spans="1:21" hidden="1" x14ac:dyDescent="0.25">
      <c r="A611" t="s">
        <v>184</v>
      </c>
      <c r="B611">
        <v>21</v>
      </c>
      <c r="C611">
        <v>27</v>
      </c>
      <c r="D611">
        <v>2</v>
      </c>
      <c r="E611">
        <v>8</v>
      </c>
      <c r="F611">
        <v>16</v>
      </c>
      <c r="G611">
        <v>37</v>
      </c>
      <c r="H611" t="s">
        <v>634</v>
      </c>
      <c r="I611" t="s">
        <v>635</v>
      </c>
      <c r="J611" t="s">
        <v>614</v>
      </c>
      <c r="K611" t="s">
        <v>636</v>
      </c>
      <c r="L611">
        <v>2025</v>
      </c>
      <c r="M611" t="s">
        <v>24</v>
      </c>
      <c r="N611">
        <v>1138.54</v>
      </c>
      <c r="O611">
        <v>13.6</v>
      </c>
      <c r="P611">
        <v>19.2196851904169</v>
      </c>
      <c r="Q611">
        <v>3.6352449999999998</v>
      </c>
      <c r="R611" s="3">
        <v>39.129413655500002</v>
      </c>
      <c r="S611">
        <v>29.441482064008916</v>
      </c>
      <c r="T611" s="3">
        <f t="shared" si="26"/>
        <v>29.441482064008916</v>
      </c>
      <c r="U611">
        <f t="shared" si="27"/>
        <v>10.221796873592016</v>
      </c>
    </row>
    <row r="612" spans="1:21" hidden="1" x14ac:dyDescent="0.25">
      <c r="A612" t="s">
        <v>29</v>
      </c>
      <c r="B612">
        <v>5</v>
      </c>
      <c r="C612">
        <v>2</v>
      </c>
      <c r="D612">
        <v>1</v>
      </c>
      <c r="E612">
        <v>1</v>
      </c>
      <c r="F612">
        <v>1</v>
      </c>
      <c r="G612">
        <v>37</v>
      </c>
      <c r="H612" t="s">
        <v>615</v>
      </c>
      <c r="I612" t="s">
        <v>616</v>
      </c>
      <c r="J612" t="s">
        <v>614</v>
      </c>
      <c r="K612" t="s">
        <v>617</v>
      </c>
      <c r="L612">
        <v>2025</v>
      </c>
      <c r="M612" t="s">
        <v>24</v>
      </c>
      <c r="N612">
        <v>979.78</v>
      </c>
      <c r="O612">
        <v>15.9</v>
      </c>
      <c r="P612">
        <v>16.099366978928899</v>
      </c>
      <c r="Q612">
        <v>1.206982</v>
      </c>
      <c r="R612" s="3">
        <v>32.991833549799999</v>
      </c>
      <c r="S612">
        <v>29.24954308042226</v>
      </c>
      <c r="T612" s="3">
        <f t="shared" si="26"/>
        <v>29.24954308042226</v>
      </c>
      <c r="U612">
        <f t="shared" si="27"/>
        <v>13.150176101493361</v>
      </c>
    </row>
    <row r="613" spans="1:21" hidden="1" x14ac:dyDescent="0.25">
      <c r="A613" t="s">
        <v>197</v>
      </c>
      <c r="B613">
        <v>37</v>
      </c>
      <c r="C613">
        <v>4</v>
      </c>
      <c r="D613">
        <v>3</v>
      </c>
      <c r="E613">
        <v>3</v>
      </c>
      <c r="F613">
        <v>19</v>
      </c>
      <c r="G613">
        <v>35</v>
      </c>
      <c r="H613" t="s">
        <v>621</v>
      </c>
      <c r="I613" t="s">
        <v>616</v>
      </c>
      <c r="J613" t="s">
        <v>614</v>
      </c>
      <c r="K613" t="s">
        <v>622</v>
      </c>
      <c r="L613">
        <v>2025</v>
      </c>
      <c r="M613" t="s">
        <v>24</v>
      </c>
      <c r="N613">
        <v>1406.16</v>
      </c>
      <c r="O613">
        <v>14.9</v>
      </c>
      <c r="P613">
        <v>23.380216802168</v>
      </c>
      <c r="Q613">
        <v>4.4861060000000004</v>
      </c>
      <c r="R613" s="3">
        <v>48.287996373399999</v>
      </c>
      <c r="S613">
        <v>29.021916425878761</v>
      </c>
      <c r="T613" s="3">
        <f t="shared" si="26"/>
        <v>29.021916425878761</v>
      </c>
      <c r="U613">
        <f t="shared" si="27"/>
        <v>5.6416996237107604</v>
      </c>
    </row>
    <row r="614" spans="1:21" hidden="1" x14ac:dyDescent="0.25">
      <c r="A614" t="s">
        <v>196</v>
      </c>
      <c r="B614">
        <v>28</v>
      </c>
      <c r="C614">
        <v>6</v>
      </c>
      <c r="D614">
        <v>3</v>
      </c>
      <c r="E614">
        <v>2</v>
      </c>
      <c r="F614">
        <v>18</v>
      </c>
      <c r="G614">
        <v>38</v>
      </c>
      <c r="H614" t="s">
        <v>645</v>
      </c>
      <c r="I614" t="s">
        <v>646</v>
      </c>
      <c r="J614" t="s">
        <v>614</v>
      </c>
      <c r="K614" t="s">
        <v>647</v>
      </c>
      <c r="L614">
        <v>2025</v>
      </c>
      <c r="M614" t="s">
        <v>24</v>
      </c>
      <c r="N614">
        <v>1247.72</v>
      </c>
      <c r="O614">
        <v>16.100000000000001</v>
      </c>
      <c r="P614">
        <v>20.453297322357901</v>
      </c>
      <c r="Q614">
        <v>4.0692740000000001</v>
      </c>
      <c r="R614" s="3">
        <v>43.801258408599999</v>
      </c>
      <c r="S614">
        <v>27.989393137193989</v>
      </c>
      <c r="T614" s="3">
        <f t="shared" si="26"/>
        <v>27.989393137193989</v>
      </c>
      <c r="U614">
        <f t="shared" si="27"/>
        <v>7.5360958148360879</v>
      </c>
    </row>
    <row r="615" spans="1:21" hidden="1" x14ac:dyDescent="0.25">
      <c r="A615" t="s">
        <v>209</v>
      </c>
      <c r="B615">
        <v>44</v>
      </c>
      <c r="C615">
        <v>9</v>
      </c>
      <c r="D615">
        <v>3</v>
      </c>
      <c r="E615">
        <v>6</v>
      </c>
      <c r="F615">
        <v>22</v>
      </c>
      <c r="G615">
        <v>35</v>
      </c>
      <c r="H615" t="s">
        <v>640</v>
      </c>
      <c r="I615" t="s">
        <v>641</v>
      </c>
      <c r="J615" t="s">
        <v>614</v>
      </c>
      <c r="K615" t="s">
        <v>642</v>
      </c>
      <c r="L615">
        <v>2025</v>
      </c>
      <c r="M615" t="s">
        <v>24</v>
      </c>
      <c r="N615">
        <v>1507.98</v>
      </c>
      <c r="O615">
        <v>14.5</v>
      </c>
      <c r="P615">
        <v>25.1910303160303</v>
      </c>
      <c r="Q615">
        <v>5.2732000000000001</v>
      </c>
      <c r="R615" s="3">
        <v>56.760197480000002</v>
      </c>
      <c r="S615">
        <v>26.602274554715965</v>
      </c>
      <c r="T615" s="3">
        <f t="shared" si="26"/>
        <v>26.602274554715965</v>
      </c>
      <c r="U615">
        <f t="shared" si="27"/>
        <v>1.411244238685665</v>
      </c>
    </row>
    <row r="616" spans="1:21" hidden="1" x14ac:dyDescent="0.25">
      <c r="A616" t="s">
        <v>159</v>
      </c>
      <c r="B616">
        <v>17</v>
      </c>
      <c r="C616">
        <v>28</v>
      </c>
      <c r="D616">
        <v>2</v>
      </c>
      <c r="E616">
        <v>2</v>
      </c>
      <c r="F616">
        <v>10</v>
      </c>
      <c r="G616">
        <v>37</v>
      </c>
      <c r="H616" t="s">
        <v>648</v>
      </c>
      <c r="I616" t="s">
        <v>649</v>
      </c>
      <c r="J616" t="s">
        <v>614</v>
      </c>
      <c r="L616">
        <v>2025</v>
      </c>
      <c r="M616" t="s">
        <v>24</v>
      </c>
      <c r="N616">
        <v>775.66</v>
      </c>
      <c r="O616">
        <v>15.2</v>
      </c>
      <c r="P616">
        <v>12.851430808792999</v>
      </c>
      <c r="Q616">
        <v>2.8678319999999999</v>
      </c>
      <c r="R616" s="3">
        <v>30.869056864800001</v>
      </c>
      <c r="S616">
        <v>24.954269450241792</v>
      </c>
      <c r="T616" s="3">
        <f t="shared" si="26"/>
        <v>24.954269450241792</v>
      </c>
      <c r="U616">
        <f t="shared" si="27"/>
        <v>12.102838641448793</v>
      </c>
    </row>
    <row r="617" spans="1:21" hidden="1" x14ac:dyDescent="0.25">
      <c r="A617" t="s">
        <v>204</v>
      </c>
      <c r="B617">
        <v>38</v>
      </c>
      <c r="C617">
        <v>11</v>
      </c>
      <c r="D617">
        <v>3</v>
      </c>
      <c r="E617">
        <v>4</v>
      </c>
      <c r="F617">
        <v>20</v>
      </c>
      <c r="G617">
        <v>38</v>
      </c>
      <c r="H617" t="s">
        <v>643</v>
      </c>
      <c r="I617" t="s">
        <v>619</v>
      </c>
      <c r="J617" t="s">
        <v>614</v>
      </c>
      <c r="K617" t="s">
        <v>644</v>
      </c>
      <c r="L617">
        <v>2025</v>
      </c>
      <c r="M617" t="s">
        <v>24</v>
      </c>
      <c r="N617">
        <v>1292.76</v>
      </c>
      <c r="O617">
        <v>14</v>
      </c>
      <c r="P617">
        <v>21.722039112282999</v>
      </c>
      <c r="Q617">
        <v>4.8743270000000001</v>
      </c>
      <c r="R617" s="3">
        <v>52.466768395300001</v>
      </c>
      <c r="S617">
        <v>24.81607051877964</v>
      </c>
      <c r="T617" s="3">
        <f t="shared" si="26"/>
        <v>24.81607051877964</v>
      </c>
      <c r="U617">
        <f t="shared" si="27"/>
        <v>3.0940314064966401</v>
      </c>
    </row>
    <row r="618" spans="1:21" hidden="1" x14ac:dyDescent="0.25">
      <c r="A618" t="s">
        <v>106</v>
      </c>
      <c r="B618">
        <v>5</v>
      </c>
      <c r="C618">
        <v>24</v>
      </c>
      <c r="D618">
        <v>1</v>
      </c>
      <c r="E618">
        <v>7</v>
      </c>
      <c r="F618">
        <v>7</v>
      </c>
      <c r="G618">
        <v>35</v>
      </c>
      <c r="H618" t="s">
        <v>584</v>
      </c>
      <c r="I618" t="s">
        <v>585</v>
      </c>
      <c r="J618" t="s">
        <v>614</v>
      </c>
      <c r="K618" t="s">
        <v>586</v>
      </c>
      <c r="L618">
        <v>2025</v>
      </c>
      <c r="M618" t="s">
        <v>24</v>
      </c>
      <c r="N618">
        <v>789.26</v>
      </c>
      <c r="O618">
        <v>14.5</v>
      </c>
      <c r="P618">
        <v>13.1847057568602</v>
      </c>
      <c r="Q618">
        <v>1.1414070000000001</v>
      </c>
      <c r="R618" s="3">
        <v>32.285990807300003</v>
      </c>
      <c r="S618">
        <v>24.477838322605038</v>
      </c>
      <c r="T618" s="3">
        <f t="shared" si="26"/>
        <v>24.477838322605038</v>
      </c>
      <c r="U618">
        <f t="shared" si="27"/>
        <v>11.293132565744838</v>
      </c>
    </row>
    <row r="619" spans="1:21" hidden="1" x14ac:dyDescent="0.25">
      <c r="A619" t="s">
        <v>158</v>
      </c>
      <c r="B619">
        <v>27</v>
      </c>
      <c r="C619">
        <v>10</v>
      </c>
      <c r="D619">
        <v>2</v>
      </c>
      <c r="E619">
        <v>2</v>
      </c>
      <c r="F619">
        <v>10</v>
      </c>
      <c r="G619">
        <v>36</v>
      </c>
      <c r="H619" t="s">
        <v>618</v>
      </c>
      <c r="I619" t="s">
        <v>619</v>
      </c>
      <c r="J619" t="s">
        <v>614</v>
      </c>
      <c r="K619" t="s">
        <v>620</v>
      </c>
      <c r="L619">
        <v>2025</v>
      </c>
      <c r="M619" t="s">
        <v>24</v>
      </c>
      <c r="N619">
        <v>1161.22</v>
      </c>
      <c r="O619">
        <v>19.7</v>
      </c>
      <c r="P619">
        <v>18.218570044428201</v>
      </c>
      <c r="Q619">
        <v>4.192126</v>
      </c>
      <c r="R619" s="3">
        <v>45.123625051399998</v>
      </c>
      <c r="S619">
        <v>24.200650706123771</v>
      </c>
      <c r="T619" s="3">
        <f t="shared" si="26"/>
        <v>24.200650706123771</v>
      </c>
      <c r="U619">
        <f t="shared" si="27"/>
        <v>5.9820806616955693</v>
      </c>
    </row>
    <row r="620" spans="1:21" hidden="1" x14ac:dyDescent="0.25">
      <c r="A620" t="s">
        <v>199</v>
      </c>
      <c r="B620">
        <v>36</v>
      </c>
      <c r="C620">
        <v>10</v>
      </c>
      <c r="D620">
        <v>3</v>
      </c>
      <c r="E620">
        <v>3</v>
      </c>
      <c r="F620">
        <v>19</v>
      </c>
      <c r="G620">
        <v>37</v>
      </c>
      <c r="H620" t="s">
        <v>618</v>
      </c>
      <c r="I620" t="s">
        <v>619</v>
      </c>
      <c r="J620" t="s">
        <v>614</v>
      </c>
      <c r="K620" t="s">
        <v>620</v>
      </c>
      <c r="L620">
        <v>2025</v>
      </c>
      <c r="M620" t="s">
        <v>24</v>
      </c>
      <c r="N620">
        <v>1156.68</v>
      </c>
      <c r="O620">
        <v>15.6</v>
      </c>
      <c r="P620">
        <v>19.0739178202593</v>
      </c>
      <c r="Q620">
        <v>4.6234010000000003</v>
      </c>
      <c r="R620" s="3">
        <v>49.765826023899997</v>
      </c>
      <c r="S620">
        <v>22.973408169639882</v>
      </c>
      <c r="T620" s="3">
        <f t="shared" si="26"/>
        <v>22.973408169639882</v>
      </c>
      <c r="U620">
        <f t="shared" si="27"/>
        <v>3.8994903493805815</v>
      </c>
    </row>
    <row r="621" spans="1:21" hidden="1" x14ac:dyDescent="0.25">
      <c r="A621" t="s">
        <v>33</v>
      </c>
      <c r="B621">
        <v>11</v>
      </c>
      <c r="C621">
        <v>10</v>
      </c>
      <c r="D621">
        <v>1</v>
      </c>
      <c r="E621">
        <v>1</v>
      </c>
      <c r="F621">
        <v>1</v>
      </c>
      <c r="G621">
        <v>38</v>
      </c>
      <c r="H621" t="s">
        <v>618</v>
      </c>
      <c r="I621" t="s">
        <v>619</v>
      </c>
      <c r="J621" t="s">
        <v>614</v>
      </c>
      <c r="K621" t="s">
        <v>620</v>
      </c>
      <c r="L621">
        <v>2025</v>
      </c>
      <c r="M621" t="s">
        <v>24</v>
      </c>
      <c r="N621">
        <v>666.79</v>
      </c>
      <c r="O621">
        <v>17.600000000000001</v>
      </c>
      <c r="P621">
        <v>10.734962307771699</v>
      </c>
      <c r="Q621">
        <v>2.763277</v>
      </c>
      <c r="R621" s="3">
        <v>29.743637300300001</v>
      </c>
      <c r="S621">
        <v>21.633320573114496</v>
      </c>
      <c r="T621" s="3">
        <f t="shared" si="26"/>
        <v>21.633320573114496</v>
      </c>
      <c r="U621">
        <f t="shared" si="27"/>
        <v>10.898358265342797</v>
      </c>
    </row>
    <row r="622" spans="1:21" hidden="1" x14ac:dyDescent="0.25">
      <c r="A622" t="s">
        <v>182</v>
      </c>
      <c r="B622">
        <v>30</v>
      </c>
      <c r="C622">
        <v>8</v>
      </c>
      <c r="D622">
        <v>2</v>
      </c>
      <c r="E622">
        <v>8</v>
      </c>
      <c r="F622">
        <v>16</v>
      </c>
      <c r="G622">
        <v>35</v>
      </c>
      <c r="H622" t="s">
        <v>664</v>
      </c>
      <c r="I622" t="s">
        <v>651</v>
      </c>
      <c r="J622" t="s">
        <v>614</v>
      </c>
      <c r="K622" t="s">
        <v>665</v>
      </c>
      <c r="L622">
        <v>2025</v>
      </c>
      <c r="M622" t="s">
        <v>24</v>
      </c>
      <c r="N622">
        <v>942.86</v>
      </c>
      <c r="O622">
        <v>15.5</v>
      </c>
      <c r="P622">
        <v>15.5663988772616</v>
      </c>
      <c r="Q622">
        <v>4.2446890000000002</v>
      </c>
      <c r="R622" s="3">
        <v>45.6894079271</v>
      </c>
      <c r="S622">
        <v>20.421581084871828</v>
      </c>
      <c r="T622" s="3">
        <f t="shared" si="26"/>
        <v>20.421581084871828</v>
      </c>
      <c r="U622">
        <f t="shared" si="27"/>
        <v>4.8551822076102287</v>
      </c>
    </row>
    <row r="623" spans="1:21" hidden="1" x14ac:dyDescent="0.25">
      <c r="A623" t="s">
        <v>202</v>
      </c>
      <c r="B623">
        <v>8</v>
      </c>
      <c r="C623">
        <v>32</v>
      </c>
      <c r="D623">
        <v>3</v>
      </c>
      <c r="E623">
        <v>4</v>
      </c>
      <c r="F623">
        <v>20</v>
      </c>
      <c r="G623">
        <v>36</v>
      </c>
      <c r="H623" t="s">
        <v>612</v>
      </c>
      <c r="I623" t="s">
        <v>613</v>
      </c>
      <c r="J623" t="s">
        <v>614</v>
      </c>
      <c r="L623">
        <v>2025</v>
      </c>
      <c r="M623" t="s">
        <v>24</v>
      </c>
      <c r="N623">
        <v>371.95</v>
      </c>
      <c r="O623">
        <v>9.99</v>
      </c>
      <c r="P623">
        <v>6.5412320946252702</v>
      </c>
      <c r="Q623">
        <v>1.78467</v>
      </c>
      <c r="R623" s="3">
        <v>19.210009413000002</v>
      </c>
      <c r="S623">
        <v>20.410268590837099</v>
      </c>
      <c r="T623" s="3">
        <f t="shared" si="26"/>
        <v>20.410268590837099</v>
      </c>
      <c r="U623">
        <f t="shared" si="27"/>
        <v>13.869036496211828</v>
      </c>
    </row>
    <row r="624" spans="1:21" hidden="1" x14ac:dyDescent="0.25">
      <c r="A624" t="s">
        <v>305</v>
      </c>
      <c r="B624">
        <v>25</v>
      </c>
      <c r="C624">
        <v>27</v>
      </c>
      <c r="D624">
        <v>1</v>
      </c>
      <c r="E624">
        <v>4</v>
      </c>
      <c r="F624">
        <v>4</v>
      </c>
      <c r="G624">
        <v>38</v>
      </c>
      <c r="H624" t="s">
        <v>634</v>
      </c>
      <c r="I624" t="s">
        <v>635</v>
      </c>
      <c r="J624" t="s">
        <v>614</v>
      </c>
      <c r="K624" t="s">
        <v>636</v>
      </c>
      <c r="L624">
        <v>2025</v>
      </c>
      <c r="M624" t="s">
        <v>24</v>
      </c>
      <c r="N624">
        <v>889.06</v>
      </c>
      <c r="O624">
        <v>12.6</v>
      </c>
      <c r="P624">
        <v>15.181921378082199</v>
      </c>
      <c r="Q624">
        <v>4.2587149999999996</v>
      </c>
      <c r="R624" s="3">
        <v>45.840382388499997</v>
      </c>
      <c r="S624">
        <v>19.851587617439655</v>
      </c>
      <c r="T624" s="3">
        <f t="shared" si="26"/>
        <v>19.851587617439655</v>
      </c>
      <c r="U624">
        <f t="shared" si="27"/>
        <v>4.669666239357456</v>
      </c>
    </row>
    <row r="625" spans="1:21" hidden="1" x14ac:dyDescent="0.25">
      <c r="A625" t="s">
        <v>220</v>
      </c>
      <c r="B625">
        <v>41</v>
      </c>
      <c r="C625">
        <v>8</v>
      </c>
      <c r="D625">
        <v>3</v>
      </c>
      <c r="E625">
        <v>8</v>
      </c>
      <c r="F625">
        <v>24</v>
      </c>
      <c r="G625">
        <v>38</v>
      </c>
      <c r="H625" t="s">
        <v>664</v>
      </c>
      <c r="I625" t="s">
        <v>651</v>
      </c>
      <c r="J625" t="s">
        <v>614</v>
      </c>
      <c r="K625" t="s">
        <v>665</v>
      </c>
      <c r="L625">
        <v>2025</v>
      </c>
      <c r="M625" t="s">
        <v>24</v>
      </c>
      <c r="N625">
        <v>886.79</v>
      </c>
      <c r="O625">
        <v>14.2</v>
      </c>
      <c r="P625">
        <v>14.865937724406599</v>
      </c>
      <c r="Q625">
        <v>5.0666529999999996</v>
      </c>
      <c r="R625" s="3">
        <v>54.536946226700003</v>
      </c>
      <c r="S625">
        <v>16.338727575558405</v>
      </c>
      <c r="T625" s="3">
        <f t="shared" si="26"/>
        <v>16.338727575558405</v>
      </c>
      <c r="U625">
        <f t="shared" si="27"/>
        <v>1.4727898511518056</v>
      </c>
    </row>
    <row r="626" spans="1:21" hidden="1" x14ac:dyDescent="0.25">
      <c r="A626" t="s">
        <v>25</v>
      </c>
      <c r="B626">
        <v>9</v>
      </c>
      <c r="C626">
        <v>32</v>
      </c>
      <c r="D626">
        <v>1</v>
      </c>
      <c r="E626">
        <v>1</v>
      </c>
      <c r="F626">
        <v>1</v>
      </c>
      <c r="G626">
        <v>36</v>
      </c>
      <c r="H626" t="s">
        <v>612</v>
      </c>
      <c r="I626" t="s">
        <v>613</v>
      </c>
      <c r="J626" t="s">
        <v>614</v>
      </c>
      <c r="L626">
        <v>2025</v>
      </c>
      <c r="M626" t="s">
        <v>24</v>
      </c>
      <c r="N626">
        <v>281.23</v>
      </c>
      <c r="O626">
        <v>11.1</v>
      </c>
      <c r="P626">
        <v>4.8848096176573996</v>
      </c>
      <c r="Q626">
        <v>2.1704409999999998</v>
      </c>
      <c r="R626" s="3">
        <v>23.3624098799</v>
      </c>
      <c r="S626">
        <v>12.532760532306789</v>
      </c>
      <c r="T626" s="3">
        <f t="shared" si="26"/>
        <v>12.532760532306789</v>
      </c>
      <c r="U626">
        <f t="shared" si="27"/>
        <v>7.6479509146493889</v>
      </c>
    </row>
    <row r="627" spans="1:21" hidden="1" x14ac:dyDescent="0.25">
      <c r="A627" t="s">
        <v>165</v>
      </c>
      <c r="B627">
        <v>13</v>
      </c>
      <c r="C627">
        <v>32</v>
      </c>
      <c r="D627">
        <v>2</v>
      </c>
      <c r="E627">
        <v>4</v>
      </c>
      <c r="F627">
        <v>12</v>
      </c>
      <c r="G627">
        <v>35</v>
      </c>
      <c r="H627" t="s">
        <v>612</v>
      </c>
      <c r="I627" t="s">
        <v>613</v>
      </c>
      <c r="J627" t="s">
        <v>614</v>
      </c>
      <c r="L627">
        <v>2025</v>
      </c>
      <c r="M627" t="s">
        <v>24</v>
      </c>
      <c r="N627">
        <v>322.06</v>
      </c>
      <c r="O627">
        <v>10</v>
      </c>
      <c r="P627">
        <v>5.6632212933025903</v>
      </c>
      <c r="Q627">
        <v>2.7141999999999999</v>
      </c>
      <c r="R627" s="3">
        <v>29.21537738</v>
      </c>
      <c r="S627">
        <v>11.619000497763125</v>
      </c>
      <c r="T627" s="3">
        <f t="shared" si="26"/>
        <v>11.619000497763125</v>
      </c>
      <c r="U627">
        <f t="shared" si="27"/>
        <v>5.9557792044605344</v>
      </c>
    </row>
    <row r="628" spans="1:21" x14ac:dyDescent="0.25">
      <c r="A628" t="s">
        <v>196</v>
      </c>
      <c r="B628">
        <v>20</v>
      </c>
      <c r="C628">
        <v>18</v>
      </c>
      <c r="D628">
        <v>3</v>
      </c>
      <c r="E628">
        <v>2</v>
      </c>
      <c r="F628">
        <v>18</v>
      </c>
      <c r="G628">
        <v>61</v>
      </c>
      <c r="H628" t="s">
        <v>496</v>
      </c>
      <c r="I628" t="s">
        <v>497</v>
      </c>
      <c r="J628" t="s">
        <v>672</v>
      </c>
      <c r="K628" t="s">
        <v>498</v>
      </c>
      <c r="L628">
        <v>2025</v>
      </c>
      <c r="M628" t="s">
        <v>24</v>
      </c>
      <c r="N628">
        <v>1528.63</v>
      </c>
      <c r="O628">
        <v>14</v>
      </c>
      <c r="P628">
        <v>25.685324923581501</v>
      </c>
      <c r="Q628">
        <v>1.802909770061776</v>
      </c>
      <c r="R628">
        <v>45.406340473968001</v>
      </c>
      <c r="S628">
        <v>33.906682631738015</v>
      </c>
      <c r="T628" s="3">
        <f t="shared" si="26"/>
        <v>33.906682631738015</v>
      </c>
      <c r="U628">
        <f t="shared" si="27"/>
        <v>8.2213577081565141</v>
      </c>
    </row>
    <row r="629" spans="1:21" x14ac:dyDescent="0.25">
      <c r="A629" t="s">
        <v>305</v>
      </c>
      <c r="B629">
        <v>1</v>
      </c>
      <c r="C629">
        <v>17</v>
      </c>
      <c r="D629">
        <v>1</v>
      </c>
      <c r="E629">
        <v>4</v>
      </c>
      <c r="F629">
        <v>4</v>
      </c>
      <c r="G629">
        <v>61</v>
      </c>
      <c r="H629" t="s">
        <v>528</v>
      </c>
      <c r="I629" t="s">
        <v>529</v>
      </c>
      <c r="J629" t="s">
        <v>672</v>
      </c>
      <c r="K629" t="s">
        <v>530</v>
      </c>
      <c r="L629">
        <v>2025</v>
      </c>
      <c r="M629" t="s">
        <v>24</v>
      </c>
      <c r="N629">
        <v>1632.96</v>
      </c>
      <c r="O629">
        <v>14.9</v>
      </c>
      <c r="P629">
        <v>27.151219512195102</v>
      </c>
      <c r="Q629">
        <v>0.28274324016389479</v>
      </c>
      <c r="R629">
        <v>45.043419962800101</v>
      </c>
      <c r="S629">
        <v>36.130562441862288</v>
      </c>
      <c r="T629" s="3">
        <f t="shared" si="26"/>
        <v>36.130562441862288</v>
      </c>
      <c r="U629">
        <f t="shared" si="27"/>
        <v>8.9793429296671867</v>
      </c>
    </row>
    <row r="630" spans="1:21" x14ac:dyDescent="0.25">
      <c r="A630" t="s">
        <v>49</v>
      </c>
      <c r="B630">
        <v>11</v>
      </c>
      <c r="C630">
        <v>5</v>
      </c>
      <c r="D630">
        <v>1</v>
      </c>
      <c r="E630">
        <v>3</v>
      </c>
      <c r="F630">
        <v>3</v>
      </c>
      <c r="G630">
        <v>50</v>
      </c>
      <c r="H630" t="s">
        <v>587</v>
      </c>
      <c r="I630" t="s">
        <v>588</v>
      </c>
      <c r="J630" t="s">
        <v>672</v>
      </c>
      <c r="K630" t="s">
        <v>589</v>
      </c>
      <c r="L630">
        <v>2025</v>
      </c>
      <c r="M630" t="s">
        <v>24</v>
      </c>
      <c r="N630">
        <v>1315.44</v>
      </c>
      <c r="O630">
        <v>13.7</v>
      </c>
      <c r="P630">
        <v>22.180231450963198</v>
      </c>
      <c r="Q630">
        <v>2.3439015297686878</v>
      </c>
      <c r="R630">
        <v>45.229521676277201</v>
      </c>
      <c r="S630">
        <v>29.394143999273005</v>
      </c>
      <c r="T630" s="3">
        <f t="shared" si="26"/>
        <v>29.394143999273005</v>
      </c>
      <c r="U630">
        <f t="shared" si="27"/>
        <v>7.213912548309807</v>
      </c>
    </row>
    <row r="631" spans="1:21" x14ac:dyDescent="0.25">
      <c r="A631" t="s">
        <v>174</v>
      </c>
      <c r="B631">
        <v>20</v>
      </c>
      <c r="C631">
        <v>2</v>
      </c>
      <c r="D631">
        <v>2</v>
      </c>
      <c r="E631">
        <v>5</v>
      </c>
      <c r="F631">
        <v>13</v>
      </c>
      <c r="G631">
        <v>61</v>
      </c>
      <c r="H631" t="s">
        <v>688</v>
      </c>
      <c r="I631" t="s">
        <v>689</v>
      </c>
      <c r="J631" t="s">
        <v>672</v>
      </c>
      <c r="K631" t="s">
        <v>690</v>
      </c>
      <c r="L631">
        <v>2025</v>
      </c>
      <c r="M631" t="s">
        <v>24</v>
      </c>
      <c r="N631">
        <v>1605.74</v>
      </c>
      <c r="O631">
        <v>13.5</v>
      </c>
      <c r="P631">
        <v>27.137858128485998</v>
      </c>
      <c r="Q631">
        <v>3.1085386225439389</v>
      </c>
      <c r="R631">
        <v>43.459998879200697</v>
      </c>
      <c r="S631">
        <v>37.428514914203895</v>
      </c>
      <c r="T631" s="3">
        <f t="shared" si="26"/>
        <v>37.428514914203895</v>
      </c>
      <c r="U631">
        <f t="shared" si="27"/>
        <v>10.290656785717896</v>
      </c>
    </row>
    <row r="632" spans="1:21" x14ac:dyDescent="0.25">
      <c r="A632" t="s">
        <v>83</v>
      </c>
      <c r="B632">
        <v>6</v>
      </c>
      <c r="C632">
        <v>11</v>
      </c>
      <c r="D632">
        <v>1</v>
      </c>
      <c r="E632">
        <v>5</v>
      </c>
      <c r="F632">
        <v>5</v>
      </c>
      <c r="G632">
        <v>52</v>
      </c>
      <c r="H632" t="s">
        <v>686</v>
      </c>
      <c r="I632" t="s">
        <v>687</v>
      </c>
      <c r="J632" t="s">
        <v>672</v>
      </c>
      <c r="K632" t="s">
        <v>480</v>
      </c>
      <c r="L632">
        <v>2025</v>
      </c>
      <c r="M632" t="s">
        <v>24</v>
      </c>
      <c r="N632">
        <v>780.19</v>
      </c>
      <c r="O632">
        <v>13.3</v>
      </c>
      <c r="P632">
        <v>13.2161120227855</v>
      </c>
      <c r="Q632">
        <v>1.5549451169960069</v>
      </c>
      <c r="R632">
        <v>43.737273744833303</v>
      </c>
      <c r="S632">
        <v>18.112097230096346</v>
      </c>
      <c r="T632" s="3">
        <f t="shared" si="26"/>
        <v>18.112097230096346</v>
      </c>
      <c r="U632">
        <f t="shared" si="27"/>
        <v>4.8959852073108454</v>
      </c>
    </row>
    <row r="633" spans="1:21" x14ac:dyDescent="0.25">
      <c r="A633" t="s">
        <v>220</v>
      </c>
      <c r="B633">
        <v>10</v>
      </c>
      <c r="C633">
        <v>5</v>
      </c>
      <c r="D633">
        <v>3</v>
      </c>
      <c r="E633">
        <v>8</v>
      </c>
      <c r="F633">
        <v>24</v>
      </c>
      <c r="G633">
        <v>61</v>
      </c>
      <c r="H633" t="s">
        <v>587</v>
      </c>
      <c r="I633" t="s">
        <v>588</v>
      </c>
      <c r="J633" t="s">
        <v>672</v>
      </c>
      <c r="K633" t="s">
        <v>589</v>
      </c>
      <c r="L633">
        <v>2025</v>
      </c>
      <c r="M633" t="s">
        <v>24</v>
      </c>
      <c r="N633">
        <v>1469.66</v>
      </c>
      <c r="O633">
        <v>14.9</v>
      </c>
      <c r="P633">
        <v>24.4360310529913</v>
      </c>
      <c r="Q633">
        <v>1.046879763621166</v>
      </c>
      <c r="R633">
        <v>41.268509087641903</v>
      </c>
      <c r="S633">
        <v>35.49184920166914</v>
      </c>
      <c r="T633" s="3">
        <f t="shared" si="26"/>
        <v>35.49184920166914</v>
      </c>
      <c r="U633">
        <f t="shared" si="27"/>
        <v>11.05581814867784</v>
      </c>
    </row>
    <row r="634" spans="1:21" x14ac:dyDescent="0.25">
      <c r="A634" t="s">
        <v>282</v>
      </c>
      <c r="B634">
        <v>22</v>
      </c>
      <c r="C634">
        <v>23</v>
      </c>
      <c r="D634">
        <v>1</v>
      </c>
      <c r="E634">
        <v>2</v>
      </c>
      <c r="F634">
        <v>2</v>
      </c>
      <c r="G634">
        <v>61</v>
      </c>
      <c r="H634" t="s">
        <v>676</v>
      </c>
      <c r="I634" t="s">
        <v>677</v>
      </c>
      <c r="J634" t="s">
        <v>672</v>
      </c>
      <c r="K634" t="s">
        <v>673</v>
      </c>
      <c r="L634">
        <v>2025</v>
      </c>
      <c r="M634" t="s">
        <v>24</v>
      </c>
      <c r="N634">
        <v>898.13</v>
      </c>
      <c r="O634">
        <v>12.7</v>
      </c>
      <c r="P634">
        <v>15.319256262650599</v>
      </c>
      <c r="Q634">
        <v>1.903806698741012</v>
      </c>
      <c r="R634">
        <v>40.492384924578403</v>
      </c>
      <c r="S634">
        <v>22.676763102336231</v>
      </c>
      <c r="T634" s="3">
        <f t="shared" si="26"/>
        <v>22.676763102336231</v>
      </c>
      <c r="U634">
        <f t="shared" si="27"/>
        <v>7.357506839685632</v>
      </c>
    </row>
    <row r="635" spans="1:21" x14ac:dyDescent="0.25">
      <c r="A635" t="s">
        <v>201</v>
      </c>
      <c r="B635">
        <v>11</v>
      </c>
      <c r="C635">
        <v>29</v>
      </c>
      <c r="D635">
        <v>3</v>
      </c>
      <c r="E635">
        <v>4</v>
      </c>
      <c r="F635">
        <v>20</v>
      </c>
      <c r="G635">
        <v>50</v>
      </c>
      <c r="H635" t="s">
        <v>602</v>
      </c>
      <c r="I635" t="s">
        <v>603</v>
      </c>
      <c r="J635" t="s">
        <v>672</v>
      </c>
      <c r="K635" t="s">
        <v>604</v>
      </c>
      <c r="L635">
        <v>2025</v>
      </c>
      <c r="M635" t="s">
        <v>24</v>
      </c>
      <c r="N635">
        <v>1528.63</v>
      </c>
      <c r="O635">
        <v>14.2</v>
      </c>
      <c r="P635">
        <v>25.625591609805699</v>
      </c>
      <c r="Q635">
        <v>2.354399507963358</v>
      </c>
      <c r="R635">
        <v>45.342520863766801</v>
      </c>
      <c r="S635">
        <v>33.875442561006118</v>
      </c>
      <c r="T635" s="3">
        <f t="shared" si="26"/>
        <v>33.875442561006118</v>
      </c>
      <c r="U635">
        <f t="shared" si="27"/>
        <v>8.2498509512004183</v>
      </c>
    </row>
    <row r="636" spans="1:21" x14ac:dyDescent="0.25">
      <c r="A636" t="s">
        <v>37</v>
      </c>
      <c r="B636">
        <v>11</v>
      </c>
      <c r="C636">
        <v>14</v>
      </c>
      <c r="D636">
        <v>1</v>
      </c>
      <c r="E636">
        <v>2</v>
      </c>
      <c r="F636">
        <v>2</v>
      </c>
      <c r="G636">
        <v>50</v>
      </c>
      <c r="H636" t="s">
        <v>578</v>
      </c>
      <c r="I636" t="s">
        <v>579</v>
      </c>
      <c r="J636" t="s">
        <v>672</v>
      </c>
      <c r="K636" t="s">
        <v>580</v>
      </c>
      <c r="L636">
        <v>2025</v>
      </c>
      <c r="M636" t="s">
        <v>24</v>
      </c>
      <c r="N636">
        <v>988.85</v>
      </c>
      <c r="O636">
        <v>13.1</v>
      </c>
      <c r="P636">
        <v>16.789371099386901</v>
      </c>
      <c r="Q636">
        <v>2.2221189052572501</v>
      </c>
      <c r="R636">
        <v>50.918665684298503</v>
      </c>
      <c r="S636">
        <v>19.763968481357423</v>
      </c>
      <c r="T636" s="3">
        <f t="shared" si="26"/>
        <v>19.763968481357423</v>
      </c>
      <c r="U636">
        <f t="shared" si="27"/>
        <v>2.974597381970522</v>
      </c>
    </row>
    <row r="637" spans="1:21" x14ac:dyDescent="0.25">
      <c r="A637" t="s">
        <v>95</v>
      </c>
      <c r="B637">
        <v>22</v>
      </c>
      <c r="C637">
        <v>15</v>
      </c>
      <c r="D637">
        <v>1</v>
      </c>
      <c r="E637">
        <v>6</v>
      </c>
      <c r="F637">
        <v>6</v>
      </c>
      <c r="G637">
        <v>51</v>
      </c>
      <c r="H637" t="s">
        <v>610</v>
      </c>
      <c r="I637" t="s">
        <v>582</v>
      </c>
      <c r="J637" t="s">
        <v>672</v>
      </c>
      <c r="K637" t="s">
        <v>611</v>
      </c>
      <c r="L637">
        <v>2025</v>
      </c>
      <c r="M637" t="s">
        <v>24</v>
      </c>
      <c r="N637">
        <v>1678.32</v>
      </c>
      <c r="O637">
        <v>13.1</v>
      </c>
      <c r="P637">
        <v>28.4956639566396</v>
      </c>
      <c r="Q637">
        <v>3.8110477393566731</v>
      </c>
      <c r="R637">
        <v>51.021736761661302</v>
      </c>
      <c r="S637">
        <v>33.476518165967683</v>
      </c>
      <c r="T637" s="3">
        <f t="shared" si="26"/>
        <v>33.476518165967683</v>
      </c>
      <c r="U637">
        <f t="shared" si="27"/>
        <v>4.9808542093280828</v>
      </c>
    </row>
    <row r="638" spans="1:21" x14ac:dyDescent="0.25">
      <c r="A638" t="s">
        <v>19</v>
      </c>
      <c r="B638">
        <v>4</v>
      </c>
      <c r="C638">
        <v>22</v>
      </c>
      <c r="D638">
        <v>1</v>
      </c>
      <c r="E638">
        <v>1</v>
      </c>
      <c r="F638">
        <v>1</v>
      </c>
      <c r="G638">
        <v>50</v>
      </c>
      <c r="H638" t="s">
        <v>670</v>
      </c>
      <c r="I638" t="s">
        <v>671</v>
      </c>
      <c r="J638" t="s">
        <v>672</v>
      </c>
      <c r="K638" t="s">
        <v>673</v>
      </c>
      <c r="L638">
        <v>2025</v>
      </c>
      <c r="M638" t="s">
        <v>24</v>
      </c>
      <c r="N638">
        <v>385.56</v>
      </c>
      <c r="O638">
        <v>-9</v>
      </c>
      <c r="P638">
        <v>8.2111257599062508</v>
      </c>
      <c r="Q638">
        <v>1.108829340976117</v>
      </c>
      <c r="R638">
        <v>30.9353281433328</v>
      </c>
      <c r="S638">
        <v>15.909799817489713</v>
      </c>
      <c r="T638" s="3">
        <f t="shared" si="26"/>
        <v>15.909799817489713</v>
      </c>
      <c r="U638">
        <f t="shared" si="27"/>
        <v>7.698674057583462</v>
      </c>
    </row>
    <row r="639" spans="1:21" x14ac:dyDescent="0.25">
      <c r="A639" t="s">
        <v>87</v>
      </c>
      <c r="B639">
        <v>38</v>
      </c>
      <c r="C639">
        <v>28</v>
      </c>
      <c r="D639">
        <v>1</v>
      </c>
      <c r="E639">
        <v>5</v>
      </c>
      <c r="F639">
        <v>5</v>
      </c>
      <c r="G639">
        <v>61</v>
      </c>
      <c r="H639" t="s">
        <v>491</v>
      </c>
      <c r="I639" t="s">
        <v>492</v>
      </c>
      <c r="J639" t="s">
        <v>672</v>
      </c>
      <c r="K639" t="s">
        <v>493</v>
      </c>
      <c r="L639">
        <v>2025</v>
      </c>
      <c r="M639" t="s">
        <v>24</v>
      </c>
      <c r="N639">
        <v>1841.62</v>
      </c>
      <c r="O639">
        <v>13.3</v>
      </c>
      <c r="P639">
        <v>31.196319131752698</v>
      </c>
      <c r="Q639">
        <v>4.3970554382560634</v>
      </c>
      <c r="R639">
        <v>47.329465031844443</v>
      </c>
      <c r="S639">
        <v>39.508314059732953</v>
      </c>
      <c r="T639" s="3">
        <f t="shared" si="26"/>
        <v>39.508314059732953</v>
      </c>
      <c r="U639">
        <f t="shared" si="27"/>
        <v>8.3119949279802547</v>
      </c>
    </row>
    <row r="640" spans="1:21" x14ac:dyDescent="0.25">
      <c r="A640" t="s">
        <v>166</v>
      </c>
      <c r="B640">
        <v>9</v>
      </c>
      <c r="C640">
        <v>21</v>
      </c>
      <c r="D640">
        <v>2</v>
      </c>
      <c r="E640">
        <v>4</v>
      </c>
      <c r="F640">
        <v>12</v>
      </c>
      <c r="G640">
        <v>51</v>
      </c>
      <c r="H640" t="s">
        <v>684</v>
      </c>
      <c r="I640" t="s">
        <v>685</v>
      </c>
      <c r="J640" t="s">
        <v>672</v>
      </c>
      <c r="K640" t="s">
        <v>673</v>
      </c>
      <c r="L640">
        <v>2025</v>
      </c>
      <c r="M640" t="s">
        <v>24</v>
      </c>
      <c r="N640">
        <v>635.04</v>
      </c>
      <c r="O640">
        <v>12.3</v>
      </c>
      <c r="P640">
        <v>10.8814033545741</v>
      </c>
      <c r="Q640">
        <v>1.547934853105031</v>
      </c>
      <c r="R640">
        <v>36.661815965337198</v>
      </c>
      <c r="S640">
        <v>17.790480364907147</v>
      </c>
      <c r="T640" s="3">
        <f t="shared" si="26"/>
        <v>17.790480364907147</v>
      </c>
      <c r="U640">
        <f t="shared" si="27"/>
        <v>6.9090770103330463</v>
      </c>
    </row>
    <row r="641" spans="1:21" x14ac:dyDescent="0.25">
      <c r="A641" t="s">
        <v>171</v>
      </c>
      <c r="B641">
        <v>16</v>
      </c>
      <c r="C641">
        <v>5</v>
      </c>
      <c r="D641">
        <v>2</v>
      </c>
      <c r="E641">
        <v>5</v>
      </c>
      <c r="F641">
        <v>13</v>
      </c>
      <c r="G641">
        <v>50</v>
      </c>
      <c r="H641" t="s">
        <v>587</v>
      </c>
      <c r="I641" t="s">
        <v>588</v>
      </c>
      <c r="J641" t="s">
        <v>672</v>
      </c>
      <c r="K641" t="s">
        <v>589</v>
      </c>
      <c r="L641">
        <v>2025</v>
      </c>
      <c r="M641" t="s">
        <v>24</v>
      </c>
      <c r="N641">
        <v>1460.59</v>
      </c>
      <c r="O641">
        <v>13.1</v>
      </c>
      <c r="P641">
        <v>24.798895215708701</v>
      </c>
      <c r="Q641">
        <v>3.5289676708096702</v>
      </c>
      <c r="R641">
        <v>57.985455111828202</v>
      </c>
      <c r="S641">
        <v>25.634804044615738</v>
      </c>
      <c r="T641" s="3">
        <f t="shared" si="26"/>
        <v>25.634804044615738</v>
      </c>
      <c r="U641">
        <f t="shared" si="27"/>
        <v>0.8359088289070371</v>
      </c>
    </row>
    <row r="642" spans="1:21" x14ac:dyDescent="0.25">
      <c r="A642" t="s">
        <v>178</v>
      </c>
      <c r="B642">
        <v>27</v>
      </c>
      <c r="C642">
        <v>14</v>
      </c>
      <c r="D642">
        <v>2</v>
      </c>
      <c r="E642">
        <v>6</v>
      </c>
      <c r="F642">
        <v>14</v>
      </c>
      <c r="G642">
        <v>61</v>
      </c>
      <c r="H642" t="s">
        <v>578</v>
      </c>
      <c r="I642" t="s">
        <v>579</v>
      </c>
      <c r="J642" t="s">
        <v>672</v>
      </c>
      <c r="K642" t="s">
        <v>580</v>
      </c>
      <c r="L642">
        <v>2025</v>
      </c>
      <c r="M642" t="s">
        <v>24</v>
      </c>
      <c r="N642">
        <v>1605.74</v>
      </c>
      <c r="O642">
        <v>13.7</v>
      </c>
      <c r="P642">
        <v>27.075111635703301</v>
      </c>
      <c r="Q642">
        <v>4.0522384367440054</v>
      </c>
      <c r="R642">
        <v>43.617889309268797</v>
      </c>
      <c r="S642">
        <v>37.206802464400653</v>
      </c>
      <c r="T642" s="3">
        <f t="shared" si="26"/>
        <v>37.206802464400653</v>
      </c>
      <c r="U642">
        <f t="shared" si="27"/>
        <v>10.131690828697351</v>
      </c>
    </row>
    <row r="643" spans="1:21" x14ac:dyDescent="0.25">
      <c r="A643" t="s">
        <v>213</v>
      </c>
      <c r="B643">
        <v>17</v>
      </c>
      <c r="C643">
        <v>13</v>
      </c>
      <c r="D643">
        <v>3</v>
      </c>
      <c r="E643">
        <v>7</v>
      </c>
      <c r="F643">
        <v>23</v>
      </c>
      <c r="G643">
        <v>50</v>
      </c>
      <c r="H643" t="s">
        <v>605</v>
      </c>
      <c r="I643" t="s">
        <v>606</v>
      </c>
      <c r="J643" t="s">
        <v>672</v>
      </c>
      <c r="K643" t="s">
        <v>577</v>
      </c>
      <c r="L643">
        <v>2025</v>
      </c>
      <c r="M643" t="s">
        <v>24</v>
      </c>
      <c r="N643">
        <v>1183.9000000000001</v>
      </c>
      <c r="O643">
        <v>13.9</v>
      </c>
      <c r="P643">
        <v>19.916013235457701</v>
      </c>
      <c r="Q643">
        <v>2.991590698305902</v>
      </c>
      <c r="R643">
        <v>32.201183117494899</v>
      </c>
      <c r="S643">
        <v>37.07211095249356</v>
      </c>
      <c r="T643" s="3">
        <f t="shared" si="26"/>
        <v>37.07211095249356</v>
      </c>
      <c r="U643">
        <f t="shared" si="27"/>
        <v>17.156097717035859</v>
      </c>
    </row>
    <row r="644" spans="1:21" x14ac:dyDescent="0.25">
      <c r="A644" t="s">
        <v>57</v>
      </c>
      <c r="B644">
        <v>16</v>
      </c>
      <c r="C644">
        <v>13</v>
      </c>
      <c r="D644">
        <v>1</v>
      </c>
      <c r="E644">
        <v>3</v>
      </c>
      <c r="F644">
        <v>3</v>
      </c>
      <c r="G644">
        <v>52</v>
      </c>
      <c r="H644" t="s">
        <v>605</v>
      </c>
      <c r="I644" t="s">
        <v>606</v>
      </c>
      <c r="J644" t="s">
        <v>672</v>
      </c>
      <c r="K644" t="s">
        <v>577</v>
      </c>
      <c r="L644">
        <v>2025</v>
      </c>
      <c r="M644" t="s">
        <v>24</v>
      </c>
      <c r="N644">
        <v>1229.26</v>
      </c>
      <c r="O644">
        <v>12.3</v>
      </c>
      <c r="P644">
        <v>21.063356462024</v>
      </c>
      <c r="Q644">
        <v>3.235953949804717</v>
      </c>
      <c r="R644">
        <v>54.831484720303003</v>
      </c>
      <c r="S644">
        <v>23.02577784960523</v>
      </c>
      <c r="T644" s="3">
        <f t="shared" si="26"/>
        <v>23.02577784960523</v>
      </c>
      <c r="U644">
        <f t="shared" si="27"/>
        <v>1.9624213875812302</v>
      </c>
    </row>
    <row r="645" spans="1:21" x14ac:dyDescent="0.25">
      <c r="A645" t="s">
        <v>170</v>
      </c>
      <c r="B645">
        <v>35</v>
      </c>
      <c r="C645">
        <v>15</v>
      </c>
      <c r="D645">
        <v>2</v>
      </c>
      <c r="E645">
        <v>4</v>
      </c>
      <c r="F645">
        <v>12</v>
      </c>
      <c r="G645">
        <v>61</v>
      </c>
      <c r="H645" t="s">
        <v>610</v>
      </c>
      <c r="I645" t="s">
        <v>582</v>
      </c>
      <c r="J645" t="s">
        <v>672</v>
      </c>
      <c r="K645" t="s">
        <v>611</v>
      </c>
      <c r="L645">
        <v>2025</v>
      </c>
      <c r="M645" t="s">
        <v>24</v>
      </c>
      <c r="N645">
        <v>1515.02</v>
      </c>
      <c r="O645">
        <v>13.6</v>
      </c>
      <c r="P645">
        <v>25.575041243333899</v>
      </c>
      <c r="Q645">
        <v>4.0167928915440054</v>
      </c>
      <c r="R645">
        <v>53.2363570052905</v>
      </c>
      <c r="S645">
        <v>28.795508527623198</v>
      </c>
      <c r="T645" s="3">
        <f t="shared" si="26"/>
        <v>28.795508527623198</v>
      </c>
      <c r="U645">
        <f t="shared" si="27"/>
        <v>3.220467284289299</v>
      </c>
    </row>
    <row r="646" spans="1:21" x14ac:dyDescent="0.25">
      <c r="A646" t="s">
        <v>185</v>
      </c>
      <c r="B646">
        <v>32</v>
      </c>
      <c r="C646">
        <v>29</v>
      </c>
      <c r="D646">
        <v>2</v>
      </c>
      <c r="E646">
        <v>8</v>
      </c>
      <c r="F646">
        <v>16</v>
      </c>
      <c r="G646">
        <v>61</v>
      </c>
      <c r="H646" t="s">
        <v>602</v>
      </c>
      <c r="I646" t="s">
        <v>603</v>
      </c>
      <c r="J646" t="s">
        <v>672</v>
      </c>
      <c r="K646" t="s">
        <v>604</v>
      </c>
      <c r="L646">
        <v>2025</v>
      </c>
      <c r="M646" t="s">
        <v>24</v>
      </c>
      <c r="N646">
        <v>1460.59</v>
      </c>
      <c r="O646">
        <v>14.1</v>
      </c>
      <c r="P646">
        <v>24.513522428416302</v>
      </c>
      <c r="Q646">
        <v>3.8970529780471308</v>
      </c>
      <c r="R646">
        <v>55.947488550401502</v>
      </c>
      <c r="S646">
        <v>26.262850619927022</v>
      </c>
      <c r="T646" s="3">
        <f t="shared" si="26"/>
        <v>26.262850619927022</v>
      </c>
      <c r="U646">
        <f t="shared" si="27"/>
        <v>1.7493281915107204</v>
      </c>
    </row>
    <row r="647" spans="1:21" x14ac:dyDescent="0.25">
      <c r="A647" t="s">
        <v>76</v>
      </c>
      <c r="B647">
        <v>10</v>
      </c>
      <c r="C647">
        <v>21</v>
      </c>
      <c r="D647">
        <v>1</v>
      </c>
      <c r="E647">
        <v>5</v>
      </c>
      <c r="F647">
        <v>5</v>
      </c>
      <c r="G647">
        <v>50</v>
      </c>
      <c r="H647" t="s">
        <v>684</v>
      </c>
      <c r="I647" t="s">
        <v>685</v>
      </c>
      <c r="J647" t="s">
        <v>672</v>
      </c>
      <c r="K647" t="s">
        <v>673</v>
      </c>
      <c r="L647">
        <v>2025</v>
      </c>
      <c r="M647" t="s">
        <v>24</v>
      </c>
      <c r="N647">
        <v>621.42999999999995</v>
      </c>
      <c r="O647">
        <v>12</v>
      </c>
      <c r="P647">
        <v>10.6846209998875</v>
      </c>
      <c r="Q647">
        <v>1.756968047463046</v>
      </c>
      <c r="R647">
        <v>38.911828366087498</v>
      </c>
      <c r="S647">
        <v>16.458650483034354</v>
      </c>
      <c r="T647" s="3">
        <f t="shared" si="26"/>
        <v>16.458650483034354</v>
      </c>
      <c r="U647">
        <f t="shared" si="27"/>
        <v>5.7740294831468546</v>
      </c>
    </row>
    <row r="648" spans="1:21" x14ac:dyDescent="0.25">
      <c r="A648" t="s">
        <v>208</v>
      </c>
      <c r="B648">
        <v>13</v>
      </c>
      <c r="C648">
        <v>24</v>
      </c>
      <c r="D648">
        <v>3</v>
      </c>
      <c r="E648">
        <v>5</v>
      </c>
      <c r="F648">
        <v>21</v>
      </c>
      <c r="G648">
        <v>61</v>
      </c>
      <c r="H648" t="s">
        <v>701</v>
      </c>
      <c r="I648" t="s">
        <v>702</v>
      </c>
      <c r="J648" t="s">
        <v>672</v>
      </c>
      <c r="K648" t="s">
        <v>673</v>
      </c>
      <c r="L648">
        <v>2025</v>
      </c>
      <c r="M648" t="s">
        <v>24</v>
      </c>
      <c r="N648">
        <v>816.48</v>
      </c>
      <c r="O648">
        <v>12.5</v>
      </c>
      <c r="P648">
        <v>13.958470665787701</v>
      </c>
      <c r="Q648">
        <v>2.3173148870995339</v>
      </c>
      <c r="R648">
        <v>44.9433457132507</v>
      </c>
      <c r="S648">
        <v>18.616120327255487</v>
      </c>
      <c r="T648" s="3">
        <f t="shared" si="26"/>
        <v>18.616120327255487</v>
      </c>
      <c r="U648">
        <f t="shared" si="27"/>
        <v>4.6576496614677865</v>
      </c>
    </row>
    <row r="649" spans="1:21" x14ac:dyDescent="0.25">
      <c r="A649" t="s">
        <v>172</v>
      </c>
      <c r="B649">
        <v>19</v>
      </c>
      <c r="C649">
        <v>4</v>
      </c>
      <c r="D649">
        <v>2</v>
      </c>
      <c r="E649">
        <v>5</v>
      </c>
      <c r="F649">
        <v>13</v>
      </c>
      <c r="G649">
        <v>51</v>
      </c>
      <c r="H649" t="s">
        <v>696</v>
      </c>
      <c r="I649" t="s">
        <v>697</v>
      </c>
      <c r="J649" t="s">
        <v>672</v>
      </c>
      <c r="K649" t="s">
        <v>698</v>
      </c>
      <c r="L649">
        <v>2025</v>
      </c>
      <c r="M649" t="s">
        <v>24</v>
      </c>
      <c r="N649">
        <v>1070.5</v>
      </c>
      <c r="O649">
        <v>14</v>
      </c>
      <c r="P649">
        <v>17.987439949951199</v>
      </c>
      <c r="Q649">
        <v>3.004447227559099</v>
      </c>
      <c r="R649">
        <v>32.339569512723394</v>
      </c>
      <c r="S649">
        <v>33.338945658379679</v>
      </c>
      <c r="T649" s="3">
        <f t="shared" si="26"/>
        <v>33.338945658379679</v>
      </c>
      <c r="U649">
        <f t="shared" si="27"/>
        <v>15.35150570842848</v>
      </c>
    </row>
    <row r="650" spans="1:21" x14ac:dyDescent="0.25">
      <c r="A650" t="s">
        <v>41</v>
      </c>
      <c r="B650">
        <v>4</v>
      </c>
      <c r="C650">
        <v>29</v>
      </c>
      <c r="D650">
        <v>1</v>
      </c>
      <c r="E650">
        <v>2</v>
      </c>
      <c r="F650">
        <v>2</v>
      </c>
      <c r="G650">
        <v>51</v>
      </c>
      <c r="H650" t="s">
        <v>602</v>
      </c>
      <c r="I650" t="s">
        <v>603</v>
      </c>
      <c r="J650" t="s">
        <v>672</v>
      </c>
      <c r="K650" t="s">
        <v>604</v>
      </c>
      <c r="L650">
        <v>2025</v>
      </c>
      <c r="M650" t="s">
        <v>24</v>
      </c>
      <c r="N650">
        <v>997.92</v>
      </c>
      <c r="O650">
        <v>13</v>
      </c>
      <c r="P650">
        <v>16.962865304328702</v>
      </c>
      <c r="Q650">
        <v>1.0135324636803771</v>
      </c>
      <c r="R650">
        <v>30.909562085809199</v>
      </c>
      <c r="S650">
        <v>32.894485645536292</v>
      </c>
      <c r="T650" s="3">
        <f t="shared" si="26"/>
        <v>32.894485645536292</v>
      </c>
      <c r="U650">
        <f t="shared" si="27"/>
        <v>15.931620341207591</v>
      </c>
    </row>
    <row r="651" spans="1:21" x14ac:dyDescent="0.25">
      <c r="A651" t="s">
        <v>181</v>
      </c>
      <c r="B651">
        <v>4</v>
      </c>
      <c r="C651">
        <v>28</v>
      </c>
      <c r="D651">
        <v>2</v>
      </c>
      <c r="E651">
        <v>7</v>
      </c>
      <c r="F651">
        <v>15</v>
      </c>
      <c r="G651">
        <v>52</v>
      </c>
      <c r="H651" t="s">
        <v>491</v>
      </c>
      <c r="I651" t="s">
        <v>492</v>
      </c>
      <c r="J651" t="s">
        <v>672</v>
      </c>
      <c r="K651" t="s">
        <v>493</v>
      </c>
      <c r="L651">
        <v>2025</v>
      </c>
      <c r="M651" t="s">
        <v>24</v>
      </c>
      <c r="N651">
        <v>244.94</v>
      </c>
      <c r="P651"/>
      <c r="Q651">
        <v>0.81690224286620194</v>
      </c>
      <c r="R651">
        <v>8.7930540519875109</v>
      </c>
      <c r="S651">
        <v>32.62277820811434</v>
      </c>
      <c r="T651" s="3">
        <f t="shared" si="26"/>
        <v>32.62277820811434</v>
      </c>
      <c r="U651">
        <f t="shared" si="27"/>
        <v>32.62277820811434</v>
      </c>
    </row>
    <row r="652" spans="1:21" x14ac:dyDescent="0.25">
      <c r="A652" t="s">
        <v>158</v>
      </c>
      <c r="B652">
        <v>42</v>
      </c>
      <c r="C652">
        <v>16</v>
      </c>
      <c r="D652">
        <v>2</v>
      </c>
      <c r="E652">
        <v>2</v>
      </c>
      <c r="F652">
        <v>10</v>
      </c>
      <c r="G652">
        <v>51</v>
      </c>
      <c r="H652" t="s">
        <v>566</v>
      </c>
      <c r="I652" t="s">
        <v>567</v>
      </c>
      <c r="J652" t="s">
        <v>672</v>
      </c>
      <c r="K652" t="s">
        <v>568</v>
      </c>
      <c r="L652">
        <v>2025</v>
      </c>
      <c r="M652" t="s">
        <v>24</v>
      </c>
      <c r="N652">
        <v>1682.86</v>
      </c>
      <c r="O652">
        <v>14.7</v>
      </c>
      <c r="P652">
        <v>28.0466666789386</v>
      </c>
      <c r="Q652">
        <v>4.8031303105526444</v>
      </c>
      <c r="R652">
        <v>41.700414349757601</v>
      </c>
      <c r="S652">
        <v>40.31416058927843</v>
      </c>
      <c r="T652" s="3">
        <f t="shared" si="26"/>
        <v>40.31416058927843</v>
      </c>
      <c r="U652">
        <f t="shared" si="27"/>
        <v>12.26749391033983</v>
      </c>
    </row>
    <row r="653" spans="1:21" x14ac:dyDescent="0.25">
      <c r="A653" t="s">
        <v>214</v>
      </c>
      <c r="B653">
        <v>24</v>
      </c>
      <c r="C653">
        <v>14</v>
      </c>
      <c r="D653">
        <v>3</v>
      </c>
      <c r="E653">
        <v>7</v>
      </c>
      <c r="F653">
        <v>23</v>
      </c>
      <c r="G653">
        <v>51</v>
      </c>
      <c r="H653" t="s">
        <v>578</v>
      </c>
      <c r="I653" t="s">
        <v>579</v>
      </c>
      <c r="J653" t="s">
        <v>672</v>
      </c>
      <c r="K653" t="s">
        <v>580</v>
      </c>
      <c r="L653">
        <v>2025</v>
      </c>
      <c r="M653" t="s">
        <v>24</v>
      </c>
      <c r="N653">
        <v>1374.41</v>
      </c>
      <c r="O653">
        <v>14.6</v>
      </c>
      <c r="P653">
        <v>22.932870110399499</v>
      </c>
      <c r="Q653">
        <v>4.0002102113894873</v>
      </c>
      <c r="R653">
        <v>33.057862694375302</v>
      </c>
      <c r="S653">
        <v>41.581521682925612</v>
      </c>
      <c r="T653" s="3">
        <f t="shared" si="26"/>
        <v>41.581521682925612</v>
      </c>
      <c r="U653">
        <f t="shared" si="27"/>
        <v>18.648651572526113</v>
      </c>
    </row>
    <row r="654" spans="1:21" x14ac:dyDescent="0.25">
      <c r="A654" t="s">
        <v>159</v>
      </c>
      <c r="B654">
        <v>45</v>
      </c>
      <c r="C654">
        <v>22</v>
      </c>
      <c r="D654">
        <v>2</v>
      </c>
      <c r="E654">
        <v>2</v>
      </c>
      <c r="F654">
        <v>10</v>
      </c>
      <c r="G654">
        <v>52</v>
      </c>
      <c r="H654" t="s">
        <v>670</v>
      </c>
      <c r="I654" t="s">
        <v>671</v>
      </c>
      <c r="J654" t="s">
        <v>672</v>
      </c>
      <c r="K654" t="s">
        <v>673</v>
      </c>
      <c r="L654">
        <v>2025</v>
      </c>
      <c r="M654" t="s">
        <v>24</v>
      </c>
      <c r="N654">
        <v>1701</v>
      </c>
      <c r="O654">
        <v>13.7</v>
      </c>
      <c r="P654">
        <v>28.681333772797199</v>
      </c>
      <c r="Q654">
        <v>5.0249103966945254</v>
      </c>
      <c r="R654">
        <v>54.087633018980199</v>
      </c>
      <c r="S654">
        <v>31.784699207269501</v>
      </c>
      <c r="T654" s="3">
        <f t="shared" si="26"/>
        <v>31.784699207269501</v>
      </c>
      <c r="U654">
        <f t="shared" si="27"/>
        <v>3.1033654344723018</v>
      </c>
    </row>
    <row r="655" spans="1:21" x14ac:dyDescent="0.25">
      <c r="A655" t="s">
        <v>194</v>
      </c>
      <c r="B655">
        <v>32</v>
      </c>
      <c r="C655">
        <v>17</v>
      </c>
      <c r="D655">
        <v>3</v>
      </c>
      <c r="E655">
        <v>2</v>
      </c>
      <c r="F655">
        <v>18</v>
      </c>
      <c r="G655">
        <v>50</v>
      </c>
      <c r="H655" t="s">
        <v>528</v>
      </c>
      <c r="I655" t="s">
        <v>529</v>
      </c>
      <c r="J655" t="s">
        <v>672</v>
      </c>
      <c r="K655" t="s">
        <v>530</v>
      </c>
      <c r="L655">
        <v>2025</v>
      </c>
      <c r="M655" t="s">
        <v>24</v>
      </c>
      <c r="N655">
        <v>1515.02</v>
      </c>
      <c r="O655">
        <v>15.5</v>
      </c>
      <c r="P655">
        <v>25.012627141917999</v>
      </c>
      <c r="Q655">
        <v>4.4803246063324682</v>
      </c>
      <c r="R655">
        <v>48.225766030102051</v>
      </c>
      <c r="S655">
        <v>31.088295620866749</v>
      </c>
      <c r="T655" s="3">
        <f t="shared" si="26"/>
        <v>31.088295620866749</v>
      </c>
      <c r="U655">
        <f t="shared" si="27"/>
        <v>6.0756684789487494</v>
      </c>
    </row>
    <row r="656" spans="1:21" x14ac:dyDescent="0.25">
      <c r="A656" t="s">
        <v>60</v>
      </c>
      <c r="B656">
        <v>7</v>
      </c>
      <c r="C656">
        <v>16</v>
      </c>
      <c r="D656">
        <v>1</v>
      </c>
      <c r="E656">
        <v>3</v>
      </c>
      <c r="F656">
        <v>3</v>
      </c>
      <c r="G656">
        <v>61</v>
      </c>
      <c r="H656" t="s">
        <v>566</v>
      </c>
      <c r="I656" t="s">
        <v>567</v>
      </c>
      <c r="J656" t="s">
        <v>672</v>
      </c>
      <c r="K656" t="s">
        <v>568</v>
      </c>
      <c r="L656">
        <v>2025</v>
      </c>
      <c r="M656" t="s">
        <v>24</v>
      </c>
      <c r="N656">
        <v>1274.6199999999999</v>
      </c>
      <c r="O656">
        <v>13.1</v>
      </c>
      <c r="P656">
        <v>21.6413694601816</v>
      </c>
      <c r="Q656">
        <v>1.113712497422952</v>
      </c>
      <c r="R656">
        <v>41.987889951010899</v>
      </c>
      <c r="S656">
        <v>30.89423371731143</v>
      </c>
      <c r="T656" s="3">
        <f t="shared" si="26"/>
        <v>30.89423371731143</v>
      </c>
      <c r="U656">
        <f t="shared" si="27"/>
        <v>9.2528642571298292</v>
      </c>
    </row>
    <row r="657" spans="1:21" x14ac:dyDescent="0.25">
      <c r="A657" t="s">
        <v>204</v>
      </c>
      <c r="B657">
        <v>13</v>
      </c>
      <c r="C657">
        <v>26</v>
      </c>
      <c r="D657">
        <v>3</v>
      </c>
      <c r="E657">
        <v>4</v>
      </c>
      <c r="F657">
        <v>20</v>
      </c>
      <c r="G657">
        <v>61</v>
      </c>
      <c r="H657" t="s">
        <v>682</v>
      </c>
      <c r="I657" t="s">
        <v>683</v>
      </c>
      <c r="J657" t="s">
        <v>672</v>
      </c>
      <c r="K657" t="s">
        <v>673</v>
      </c>
      <c r="L657">
        <v>2025</v>
      </c>
      <c r="M657" t="s">
        <v>24</v>
      </c>
      <c r="N657">
        <v>703.08</v>
      </c>
      <c r="O657">
        <v>12.8</v>
      </c>
      <c r="P657">
        <v>11.978583461510301</v>
      </c>
      <c r="Q657">
        <v>2.1858291508632242</v>
      </c>
      <c r="R657">
        <v>53.528046396976599</v>
      </c>
      <c r="S657">
        <v>13.413459690983252</v>
      </c>
      <c r="T657" s="3">
        <f t="shared" si="26"/>
        <v>13.413459690983252</v>
      </c>
      <c r="U657">
        <f t="shared" si="27"/>
        <v>1.4348762294729518</v>
      </c>
    </row>
    <row r="658" spans="1:21" x14ac:dyDescent="0.25">
      <c r="A658" t="s">
        <v>118</v>
      </c>
      <c r="B658">
        <v>42</v>
      </c>
      <c r="C658">
        <v>4</v>
      </c>
      <c r="D658">
        <v>1</v>
      </c>
      <c r="E658">
        <v>7</v>
      </c>
      <c r="F658">
        <v>7</v>
      </c>
      <c r="G658">
        <v>61</v>
      </c>
      <c r="H658" t="s">
        <v>696</v>
      </c>
      <c r="I658" t="s">
        <v>697</v>
      </c>
      <c r="J658" t="s">
        <v>672</v>
      </c>
      <c r="K658" t="s">
        <v>698</v>
      </c>
      <c r="L658">
        <v>2025</v>
      </c>
      <c r="M658" t="s">
        <v>24</v>
      </c>
      <c r="N658">
        <v>1433.38</v>
      </c>
      <c r="O658">
        <v>13.7</v>
      </c>
      <c r="P658">
        <v>24.168871371694301</v>
      </c>
      <c r="Q658">
        <v>4.5191159106701013</v>
      </c>
      <c r="R658">
        <v>48.643311750861898</v>
      </c>
      <c r="S658">
        <v>29.781733559571808</v>
      </c>
      <c r="T658" s="3">
        <f t="shared" si="26"/>
        <v>29.781733559571808</v>
      </c>
      <c r="U658">
        <f t="shared" si="27"/>
        <v>5.6128621878775071</v>
      </c>
    </row>
    <row r="659" spans="1:21" x14ac:dyDescent="0.25">
      <c r="A659" t="s">
        <v>103</v>
      </c>
      <c r="B659">
        <v>45</v>
      </c>
      <c r="C659">
        <v>31</v>
      </c>
      <c r="D659">
        <v>1</v>
      </c>
      <c r="E659">
        <v>6</v>
      </c>
      <c r="F659">
        <v>6</v>
      </c>
      <c r="G659">
        <v>61</v>
      </c>
      <c r="H659" t="s">
        <v>518</v>
      </c>
      <c r="I659" t="s">
        <v>485</v>
      </c>
      <c r="J659" t="s">
        <v>672</v>
      </c>
      <c r="K659" t="s">
        <v>519</v>
      </c>
      <c r="L659">
        <v>2025</v>
      </c>
      <c r="M659" t="s">
        <v>24</v>
      </c>
      <c r="N659">
        <v>1496.88</v>
      </c>
      <c r="O659">
        <v>14.9</v>
      </c>
      <c r="P659">
        <v>24.888617886178899</v>
      </c>
      <c r="Q659">
        <v>4.6623310177158066</v>
      </c>
      <c r="R659">
        <v>50.184864841591171</v>
      </c>
      <c r="S659">
        <v>29.726567179298218</v>
      </c>
      <c r="T659" s="3">
        <f t="shared" si="26"/>
        <v>29.726567179298218</v>
      </c>
      <c r="U659">
        <f t="shared" si="27"/>
        <v>4.8379492931193191</v>
      </c>
    </row>
    <row r="660" spans="1:21" x14ac:dyDescent="0.25">
      <c r="A660" t="s">
        <v>182</v>
      </c>
      <c r="B660">
        <v>30</v>
      </c>
      <c r="C660">
        <v>18</v>
      </c>
      <c r="D660">
        <v>2</v>
      </c>
      <c r="E660">
        <v>8</v>
      </c>
      <c r="F660">
        <v>16</v>
      </c>
      <c r="G660">
        <v>50</v>
      </c>
      <c r="H660" t="s">
        <v>496</v>
      </c>
      <c r="I660" t="s">
        <v>497</v>
      </c>
      <c r="J660" t="s">
        <v>672</v>
      </c>
      <c r="K660" t="s">
        <v>498</v>
      </c>
      <c r="L660">
        <v>2025</v>
      </c>
      <c r="M660" t="s">
        <v>24</v>
      </c>
      <c r="N660">
        <v>1410.7</v>
      </c>
      <c r="O660">
        <v>13.7</v>
      </c>
      <c r="P660">
        <v>23.786453588057</v>
      </c>
      <c r="Q660">
        <v>4.4622511731530539</v>
      </c>
      <c r="R660">
        <v>48.031225402702162</v>
      </c>
      <c r="S660">
        <v>29.684023593283687</v>
      </c>
      <c r="T660" s="3">
        <f t="shared" si="26"/>
        <v>29.684023593283687</v>
      </c>
      <c r="U660">
        <f t="shared" si="27"/>
        <v>5.8975700052266866</v>
      </c>
    </row>
    <row r="661" spans="1:21" x14ac:dyDescent="0.25">
      <c r="A661" t="s">
        <v>134</v>
      </c>
      <c r="B661">
        <v>43</v>
      </c>
      <c r="C661">
        <v>27</v>
      </c>
      <c r="D661">
        <v>1</v>
      </c>
      <c r="E661">
        <v>8</v>
      </c>
      <c r="F661">
        <v>8</v>
      </c>
      <c r="G661">
        <v>61</v>
      </c>
      <c r="H661" t="s">
        <v>525</v>
      </c>
      <c r="I661" t="s">
        <v>526</v>
      </c>
      <c r="J661" t="s">
        <v>672</v>
      </c>
      <c r="K661" t="s">
        <v>527</v>
      </c>
      <c r="L661">
        <v>2025</v>
      </c>
      <c r="M661" t="s">
        <v>24</v>
      </c>
      <c r="N661">
        <v>1474.2</v>
      </c>
      <c r="O661">
        <v>12.5</v>
      </c>
      <c r="P661">
        <v>25.202794257672299</v>
      </c>
      <c r="Q661">
        <v>4.7522899051051706</v>
      </c>
      <c r="R661">
        <v>51.153173309561552</v>
      </c>
      <c r="S661">
        <v>29.531999484428983</v>
      </c>
      <c r="T661" s="3">
        <f t="shared" si="26"/>
        <v>29.531999484428983</v>
      </c>
      <c r="U661">
        <f t="shared" si="27"/>
        <v>4.3292052267566845</v>
      </c>
    </row>
    <row r="662" spans="1:21" x14ac:dyDescent="0.25">
      <c r="A662" t="s">
        <v>202</v>
      </c>
      <c r="B662">
        <v>16</v>
      </c>
      <c r="C662">
        <v>4</v>
      </c>
      <c r="D662">
        <v>3</v>
      </c>
      <c r="E662">
        <v>4</v>
      </c>
      <c r="F662">
        <v>20</v>
      </c>
      <c r="G662">
        <v>51</v>
      </c>
      <c r="H662" t="s">
        <v>696</v>
      </c>
      <c r="I662" t="s">
        <v>697</v>
      </c>
      <c r="J662" t="s">
        <v>672</v>
      </c>
      <c r="K662" t="s">
        <v>698</v>
      </c>
      <c r="L662">
        <v>2025</v>
      </c>
      <c r="M662" t="s">
        <v>24</v>
      </c>
      <c r="N662">
        <v>997.92</v>
      </c>
      <c r="O662">
        <v>13.6</v>
      </c>
      <c r="P662">
        <v>16.845880026367801</v>
      </c>
      <c r="Q662">
        <v>3.189515717222891</v>
      </c>
      <c r="R662">
        <v>34.331628228615472</v>
      </c>
      <c r="S662">
        <v>29.411423252534991</v>
      </c>
      <c r="T662" s="3">
        <f t="shared" si="26"/>
        <v>29.411423252534991</v>
      </c>
      <c r="U662">
        <f t="shared" si="27"/>
        <v>12.56554322616719</v>
      </c>
    </row>
    <row r="663" spans="1:21" x14ac:dyDescent="0.25">
      <c r="A663" t="s">
        <v>218</v>
      </c>
      <c r="B663">
        <v>25</v>
      </c>
      <c r="C663">
        <v>27</v>
      </c>
      <c r="D663">
        <v>3</v>
      </c>
      <c r="E663">
        <v>8</v>
      </c>
      <c r="F663">
        <v>24</v>
      </c>
      <c r="G663">
        <v>51</v>
      </c>
      <c r="H663" t="s">
        <v>525</v>
      </c>
      <c r="I663" t="s">
        <v>526</v>
      </c>
      <c r="J663" t="s">
        <v>672</v>
      </c>
      <c r="K663" t="s">
        <v>527</v>
      </c>
      <c r="L663">
        <v>2025</v>
      </c>
      <c r="M663" t="s">
        <v>24</v>
      </c>
      <c r="N663">
        <v>1419.77</v>
      </c>
      <c r="O663">
        <v>14.5</v>
      </c>
      <c r="P663">
        <v>23.717469138708999</v>
      </c>
      <c r="Q663">
        <v>4.4921856414328367</v>
      </c>
      <c r="R663">
        <v>48.353437025818913</v>
      </c>
      <c r="S663">
        <v>29.400704223261769</v>
      </c>
      <c r="T663" s="3">
        <f t="shared" si="26"/>
        <v>29.400704223261769</v>
      </c>
      <c r="U663">
        <f t="shared" si="27"/>
        <v>5.6832350845527699</v>
      </c>
    </row>
    <row r="664" spans="1:21" x14ac:dyDescent="0.25">
      <c r="A664" t="s">
        <v>175</v>
      </c>
      <c r="B664">
        <v>47</v>
      </c>
      <c r="C664">
        <v>20</v>
      </c>
      <c r="D664">
        <v>2</v>
      </c>
      <c r="E664">
        <v>6</v>
      </c>
      <c r="F664">
        <v>14</v>
      </c>
      <c r="G664">
        <v>50</v>
      </c>
      <c r="H664" t="s">
        <v>533</v>
      </c>
      <c r="I664" t="s">
        <v>534</v>
      </c>
      <c r="J664" t="s">
        <v>672</v>
      </c>
      <c r="K664" t="s">
        <v>535</v>
      </c>
      <c r="L664">
        <v>2025</v>
      </c>
      <c r="M664" t="s">
        <v>24</v>
      </c>
      <c r="N664">
        <v>1623.89</v>
      </c>
      <c r="O664">
        <v>14.2</v>
      </c>
      <c r="P664">
        <v>27.222507709025301</v>
      </c>
      <c r="Q664">
        <v>5.1651816832758861</v>
      </c>
      <c r="R664">
        <v>55.597499120613307</v>
      </c>
      <c r="S664">
        <v>29.348750175599235</v>
      </c>
      <c r="T664" s="3">
        <f t="shared" si="26"/>
        <v>29.348750175599235</v>
      </c>
      <c r="U664">
        <f t="shared" si="27"/>
        <v>2.1262424665739346</v>
      </c>
    </row>
    <row r="665" spans="1:21" x14ac:dyDescent="0.25">
      <c r="A665" t="s">
        <v>91</v>
      </c>
      <c r="B665">
        <v>29</v>
      </c>
      <c r="C665">
        <v>3</v>
      </c>
      <c r="D665">
        <v>1</v>
      </c>
      <c r="E665">
        <v>6</v>
      </c>
      <c r="F665">
        <v>6</v>
      </c>
      <c r="G665">
        <v>50</v>
      </c>
      <c r="H665" t="s">
        <v>478</v>
      </c>
      <c r="I665" t="s">
        <v>479</v>
      </c>
      <c r="J665" t="s">
        <v>672</v>
      </c>
      <c r="K665" t="s">
        <v>480</v>
      </c>
      <c r="L665">
        <v>2025</v>
      </c>
      <c r="M665" t="s">
        <v>24</v>
      </c>
      <c r="N665">
        <v>1356.26</v>
      </c>
      <c r="O665">
        <v>13.6</v>
      </c>
      <c r="P665">
        <v>22.895014875502699</v>
      </c>
      <c r="Q665">
        <v>4.3860313668433646</v>
      </c>
      <c r="R665">
        <v>47.210803029565291</v>
      </c>
      <c r="S665">
        <v>29.068075600794685</v>
      </c>
      <c r="T665" s="3">
        <f t="shared" si="26"/>
        <v>29.068075600794685</v>
      </c>
      <c r="U665">
        <f t="shared" si="27"/>
        <v>6.173060725291986</v>
      </c>
    </row>
    <row r="666" spans="1:21" x14ac:dyDescent="0.25">
      <c r="A666" t="s">
        <v>130</v>
      </c>
      <c r="B666">
        <v>44</v>
      </c>
      <c r="C666">
        <v>24</v>
      </c>
      <c r="D666">
        <v>1</v>
      </c>
      <c r="E666">
        <v>8</v>
      </c>
      <c r="F666">
        <v>8</v>
      </c>
      <c r="G666">
        <v>52</v>
      </c>
      <c r="H666" t="s">
        <v>701</v>
      </c>
      <c r="I666" t="s">
        <v>702</v>
      </c>
      <c r="J666" t="s">
        <v>672</v>
      </c>
      <c r="K666" t="s">
        <v>673</v>
      </c>
      <c r="L666">
        <v>2025</v>
      </c>
      <c r="M666" t="s">
        <v>24</v>
      </c>
      <c r="N666">
        <v>1419.77</v>
      </c>
      <c r="O666">
        <v>13.6</v>
      </c>
      <c r="P666">
        <v>23.967126708590101</v>
      </c>
      <c r="Q666">
        <v>4.6255619432865851</v>
      </c>
      <c r="R666">
        <v>49.789086201342471</v>
      </c>
      <c r="S666">
        <v>28.85350353897752</v>
      </c>
      <c r="T666" s="3">
        <f t="shared" si="26"/>
        <v>28.85350353897752</v>
      </c>
      <c r="U666">
        <f t="shared" si="27"/>
        <v>4.8863768303874195</v>
      </c>
    </row>
    <row r="667" spans="1:21" x14ac:dyDescent="0.25">
      <c r="A667" t="s">
        <v>114</v>
      </c>
      <c r="B667">
        <v>39</v>
      </c>
      <c r="C667">
        <v>10</v>
      </c>
      <c r="D667">
        <v>1</v>
      </c>
      <c r="E667">
        <v>7</v>
      </c>
      <c r="F667">
        <v>7</v>
      </c>
      <c r="G667">
        <v>52</v>
      </c>
      <c r="H667" t="s">
        <v>487</v>
      </c>
      <c r="I667" t="s">
        <v>488</v>
      </c>
      <c r="J667" t="s">
        <v>672</v>
      </c>
      <c r="K667" t="s">
        <v>480</v>
      </c>
      <c r="L667">
        <v>2025</v>
      </c>
      <c r="M667" t="s">
        <v>24</v>
      </c>
      <c r="N667">
        <v>1478.74</v>
      </c>
      <c r="O667">
        <v>13.4</v>
      </c>
      <c r="P667">
        <v>25.0203826293709</v>
      </c>
      <c r="Q667">
        <v>4.8474391660963629</v>
      </c>
      <c r="R667">
        <v>52.17735043994464</v>
      </c>
      <c r="S667">
        <v>28.742772911220328</v>
      </c>
      <c r="T667" s="3">
        <f t="shared" si="26"/>
        <v>28.742772911220328</v>
      </c>
      <c r="U667">
        <f t="shared" si="27"/>
        <v>3.7223902818494281</v>
      </c>
    </row>
    <row r="668" spans="1:21" x14ac:dyDescent="0.25">
      <c r="A668" t="s">
        <v>25</v>
      </c>
      <c r="B668">
        <v>42</v>
      </c>
      <c r="C668">
        <v>18</v>
      </c>
      <c r="D668">
        <v>1</v>
      </c>
      <c r="E668">
        <v>1</v>
      </c>
      <c r="F668">
        <v>1</v>
      </c>
      <c r="G668">
        <v>51</v>
      </c>
      <c r="H668" t="s">
        <v>496</v>
      </c>
      <c r="I668" t="s">
        <v>497</v>
      </c>
      <c r="J668" t="s">
        <v>672</v>
      </c>
      <c r="K668" t="s">
        <v>498</v>
      </c>
      <c r="L668">
        <v>2025</v>
      </c>
      <c r="M668" t="s">
        <v>24</v>
      </c>
      <c r="N668">
        <v>1469.66</v>
      </c>
      <c r="O668">
        <v>13.1</v>
      </c>
      <c r="P668">
        <v>24.952891874323701</v>
      </c>
      <c r="Q668">
        <v>5.0664843597891078</v>
      </c>
      <c r="R668">
        <v>54.535131000333983</v>
      </c>
      <c r="S668">
        <v>27.425923647965583</v>
      </c>
      <c r="T668" s="3">
        <f t="shared" si="26"/>
        <v>27.425923647965583</v>
      </c>
      <c r="U668">
        <f t="shared" si="27"/>
        <v>2.4730317736418819</v>
      </c>
    </row>
    <row r="669" spans="1:21" x14ac:dyDescent="0.25">
      <c r="A669" t="s">
        <v>195</v>
      </c>
      <c r="B669">
        <v>33</v>
      </c>
      <c r="C669">
        <v>16</v>
      </c>
      <c r="D669">
        <v>3</v>
      </c>
      <c r="E669">
        <v>2</v>
      </c>
      <c r="F669">
        <v>18</v>
      </c>
      <c r="G669">
        <v>52</v>
      </c>
      <c r="H669" t="s">
        <v>566</v>
      </c>
      <c r="I669" t="s">
        <v>567</v>
      </c>
      <c r="J669" t="s">
        <v>672</v>
      </c>
      <c r="K669" t="s">
        <v>568</v>
      </c>
      <c r="L669">
        <v>2025</v>
      </c>
      <c r="M669" t="s">
        <v>24</v>
      </c>
      <c r="N669">
        <v>1319.98</v>
      </c>
      <c r="O669">
        <v>14.9</v>
      </c>
      <c r="P669">
        <v>21.947302280342001</v>
      </c>
      <c r="Q669">
        <v>4.4991085493627381</v>
      </c>
      <c r="R669">
        <v>48.427954514485577</v>
      </c>
      <c r="S669">
        <v>27.16450264877918</v>
      </c>
      <c r="T669" s="3">
        <f t="shared" si="26"/>
        <v>27.16450264877918</v>
      </c>
      <c r="U669">
        <f t="shared" si="27"/>
        <v>5.2172003684371795</v>
      </c>
    </row>
    <row r="670" spans="1:21" x14ac:dyDescent="0.25">
      <c r="A670" t="s">
        <v>211</v>
      </c>
      <c r="B670">
        <v>26</v>
      </c>
      <c r="C670">
        <v>15</v>
      </c>
      <c r="D670">
        <v>3</v>
      </c>
      <c r="E670">
        <v>6</v>
      </c>
      <c r="F670">
        <v>22</v>
      </c>
      <c r="G670">
        <v>52</v>
      </c>
      <c r="H670" t="s">
        <v>610</v>
      </c>
      <c r="I670" t="s">
        <v>582</v>
      </c>
      <c r="J670" t="s">
        <v>672</v>
      </c>
      <c r="K670" t="s">
        <v>611</v>
      </c>
      <c r="L670">
        <v>2025</v>
      </c>
      <c r="M670" t="s">
        <v>24</v>
      </c>
      <c r="N670">
        <v>1288.22</v>
      </c>
      <c r="O670">
        <v>13.5</v>
      </c>
      <c r="P670">
        <v>21.771601628083101</v>
      </c>
      <c r="Q670">
        <v>4.4879343878658444</v>
      </c>
      <c r="R670">
        <v>48.307676957549162</v>
      </c>
      <c r="S670">
        <v>27.014128680500903</v>
      </c>
      <c r="T670" s="3">
        <f t="shared" si="26"/>
        <v>27.014128680500903</v>
      </c>
      <c r="U670">
        <f t="shared" si="27"/>
        <v>5.2425270524178025</v>
      </c>
    </row>
    <row r="671" spans="1:21" x14ac:dyDescent="0.25">
      <c r="A671" t="s">
        <v>79</v>
      </c>
      <c r="B671">
        <v>50</v>
      </c>
      <c r="C671">
        <v>20</v>
      </c>
      <c r="D671">
        <v>1</v>
      </c>
      <c r="E671">
        <v>5</v>
      </c>
      <c r="F671">
        <v>5</v>
      </c>
      <c r="G671">
        <v>51</v>
      </c>
      <c r="H671" t="s">
        <v>533</v>
      </c>
      <c r="I671" t="s">
        <v>534</v>
      </c>
      <c r="J671" t="s">
        <v>672</v>
      </c>
      <c r="K671" t="s">
        <v>535</v>
      </c>
      <c r="L671">
        <v>2025</v>
      </c>
      <c r="M671" t="s">
        <v>24</v>
      </c>
      <c r="N671">
        <v>1451.52</v>
      </c>
      <c r="O671">
        <v>14</v>
      </c>
      <c r="P671">
        <v>24.389657950633602</v>
      </c>
      <c r="Q671">
        <v>5.0676012459377526</v>
      </c>
      <c r="R671">
        <v>54.547153051149373</v>
      </c>
      <c r="S671">
        <v>26.800960559575365</v>
      </c>
      <c r="T671" s="3">
        <f t="shared" si="26"/>
        <v>26.800960559575365</v>
      </c>
      <c r="U671">
        <f t="shared" si="27"/>
        <v>2.4113026089417637</v>
      </c>
    </row>
    <row r="672" spans="1:21" x14ac:dyDescent="0.25">
      <c r="A672" t="s">
        <v>173</v>
      </c>
      <c r="B672">
        <v>48</v>
      </c>
      <c r="C672">
        <v>23</v>
      </c>
      <c r="D672">
        <v>2</v>
      </c>
      <c r="E672">
        <v>5</v>
      </c>
      <c r="F672">
        <v>13</v>
      </c>
      <c r="G672">
        <v>52</v>
      </c>
      <c r="H672" t="s">
        <v>676</v>
      </c>
      <c r="I672" t="s">
        <v>677</v>
      </c>
      <c r="J672" t="s">
        <v>672</v>
      </c>
      <c r="K672" t="s">
        <v>673</v>
      </c>
      <c r="L672">
        <v>2025</v>
      </c>
      <c r="M672" t="s">
        <v>24</v>
      </c>
      <c r="N672">
        <v>1528.63</v>
      </c>
      <c r="O672">
        <v>14.8</v>
      </c>
      <c r="P672">
        <v>25.446391668478402</v>
      </c>
      <c r="Q672">
        <v>5.3908568219927142</v>
      </c>
      <c r="R672">
        <v>58.026643746247373</v>
      </c>
      <c r="S672">
        <v>26.285454717639677</v>
      </c>
      <c r="T672" s="3">
        <f t="shared" si="26"/>
        <v>26.285454717639677</v>
      </c>
      <c r="U672">
        <f t="shared" si="27"/>
        <v>0.83906304916127539</v>
      </c>
    </row>
    <row r="673" spans="1:21" x14ac:dyDescent="0.25">
      <c r="A673" t="s">
        <v>165</v>
      </c>
      <c r="B673">
        <v>29</v>
      </c>
      <c r="C673">
        <v>27</v>
      </c>
      <c r="D673">
        <v>2</v>
      </c>
      <c r="E673">
        <v>4</v>
      </c>
      <c r="F673">
        <v>12</v>
      </c>
      <c r="G673">
        <v>50</v>
      </c>
      <c r="H673" t="s">
        <v>525</v>
      </c>
      <c r="I673" t="s">
        <v>526</v>
      </c>
      <c r="J673" t="s">
        <v>672</v>
      </c>
      <c r="K673" t="s">
        <v>527</v>
      </c>
      <c r="L673">
        <v>2025</v>
      </c>
      <c r="M673" t="s">
        <v>24</v>
      </c>
      <c r="N673">
        <v>1233.79</v>
      </c>
      <c r="O673">
        <v>13.7</v>
      </c>
      <c r="P673">
        <v>20.8034937069603</v>
      </c>
      <c r="Q673">
        <v>4.4697663137409833</v>
      </c>
      <c r="R673">
        <v>48.112117624476568</v>
      </c>
      <c r="S673">
        <v>25.917824331241235</v>
      </c>
      <c r="T673" s="3">
        <f t="shared" si="26"/>
        <v>25.917824331241235</v>
      </c>
      <c r="U673">
        <f t="shared" si="27"/>
        <v>5.1143306242809352</v>
      </c>
    </row>
    <row r="674" spans="1:21" x14ac:dyDescent="0.25">
      <c r="A674" t="s">
        <v>192</v>
      </c>
      <c r="B674">
        <v>24</v>
      </c>
      <c r="C674">
        <v>28</v>
      </c>
      <c r="D674">
        <v>3</v>
      </c>
      <c r="E674">
        <v>1</v>
      </c>
      <c r="F674">
        <v>17</v>
      </c>
      <c r="G674">
        <v>52</v>
      </c>
      <c r="H674" t="s">
        <v>491</v>
      </c>
      <c r="I674" t="s">
        <v>492</v>
      </c>
      <c r="J674" t="s">
        <v>672</v>
      </c>
      <c r="K674" t="s">
        <v>493</v>
      </c>
      <c r="L674">
        <v>2025</v>
      </c>
      <c r="M674" t="s">
        <v>24</v>
      </c>
      <c r="N674">
        <v>1038.74</v>
      </c>
      <c r="O674">
        <v>14.3</v>
      </c>
      <c r="P674">
        <v>17.3928964743554</v>
      </c>
      <c r="Q674">
        <v>3.820299024786328</v>
      </c>
      <c r="R674">
        <v>41.121316672897557</v>
      </c>
      <c r="S674">
        <v>25.35254945666604</v>
      </c>
      <c r="T674" s="3">
        <f t="shared" ref="T674:T723" si="28">IF(N674&lt;= 0, -9, N674/ 453.6 / (R674/ 43560) * ((100 - O674) / (100 - 18)) / 100)</f>
        <v>25.35254945666604</v>
      </c>
      <c r="U674">
        <f t="shared" ref="U674:U737" si="29">T674-P674</f>
        <v>7.9596529823106401</v>
      </c>
    </row>
    <row r="675" spans="1:21" x14ac:dyDescent="0.25">
      <c r="A675" t="s">
        <v>193</v>
      </c>
      <c r="B675">
        <v>33</v>
      </c>
      <c r="C675">
        <v>12</v>
      </c>
      <c r="D675">
        <v>3</v>
      </c>
      <c r="E675">
        <v>1</v>
      </c>
      <c r="F675">
        <v>17</v>
      </c>
      <c r="G675">
        <v>61</v>
      </c>
      <c r="H675" t="s">
        <v>489</v>
      </c>
      <c r="I675" t="s">
        <v>490</v>
      </c>
      <c r="J675" t="s">
        <v>672</v>
      </c>
      <c r="K675" t="s">
        <v>480</v>
      </c>
      <c r="L675">
        <v>2025</v>
      </c>
      <c r="M675" t="s">
        <v>24</v>
      </c>
      <c r="N675">
        <v>1215.6500000000001</v>
      </c>
      <c r="O675">
        <v>15.2</v>
      </c>
      <c r="P675">
        <v>20.141352993204801</v>
      </c>
      <c r="Q675">
        <v>4.4434582138616596</v>
      </c>
      <c r="R675">
        <v>47.828939868185508</v>
      </c>
      <c r="S675">
        <v>25.241468904389059</v>
      </c>
      <c r="T675" s="3">
        <f t="shared" si="28"/>
        <v>25.241468904389059</v>
      </c>
      <c r="U675">
        <f t="shared" si="29"/>
        <v>5.1001159111842576</v>
      </c>
    </row>
    <row r="676" spans="1:21" x14ac:dyDescent="0.25">
      <c r="A676" t="s">
        <v>155</v>
      </c>
      <c r="B676">
        <v>44</v>
      </c>
      <c r="C676">
        <v>7</v>
      </c>
      <c r="D676">
        <v>2</v>
      </c>
      <c r="E676">
        <v>1</v>
      </c>
      <c r="F676">
        <v>9</v>
      </c>
      <c r="G676">
        <v>52</v>
      </c>
      <c r="H676" t="s">
        <v>674</v>
      </c>
      <c r="I676" t="s">
        <v>675</v>
      </c>
      <c r="J676" t="s">
        <v>672</v>
      </c>
      <c r="K676" t="s">
        <v>577</v>
      </c>
      <c r="L676">
        <v>2025</v>
      </c>
      <c r="M676" t="s">
        <v>24</v>
      </c>
      <c r="N676">
        <v>1356.26</v>
      </c>
      <c r="O676">
        <v>12.1</v>
      </c>
      <c r="P676">
        <v>23.292497772646801</v>
      </c>
      <c r="Q676">
        <v>5.1576399176570762</v>
      </c>
      <c r="R676">
        <v>55.516320309668998</v>
      </c>
      <c r="S676">
        <v>25.148502435045028</v>
      </c>
      <c r="T676" s="3">
        <f t="shared" si="28"/>
        <v>25.148502435045028</v>
      </c>
      <c r="U676">
        <f t="shared" si="29"/>
        <v>1.8560046623982274</v>
      </c>
    </row>
    <row r="677" spans="1:21" x14ac:dyDescent="0.25">
      <c r="A677" t="s">
        <v>376</v>
      </c>
      <c r="B677">
        <v>37</v>
      </c>
      <c r="C677">
        <v>20</v>
      </c>
      <c r="D677">
        <v>3</v>
      </c>
      <c r="E677">
        <v>2</v>
      </c>
      <c r="F677">
        <v>18</v>
      </c>
      <c r="G677">
        <v>51</v>
      </c>
      <c r="H677" t="s">
        <v>533</v>
      </c>
      <c r="I677" t="s">
        <v>534</v>
      </c>
      <c r="J677" t="s">
        <v>672</v>
      </c>
      <c r="K677" t="s">
        <v>535</v>
      </c>
      <c r="L677">
        <v>2025</v>
      </c>
      <c r="M677" t="s">
        <v>24</v>
      </c>
      <c r="N677">
        <v>1347.19</v>
      </c>
      <c r="O677">
        <v>15.1</v>
      </c>
      <c r="P677">
        <v>22.3470795466392</v>
      </c>
      <c r="Q677">
        <v>4.9744620354960354</v>
      </c>
      <c r="R677">
        <v>53.544611903875783</v>
      </c>
      <c r="S677">
        <v>25.016222928839539</v>
      </c>
      <c r="T677" s="3">
        <f t="shared" si="28"/>
        <v>25.016222928839539</v>
      </c>
      <c r="U677">
        <f t="shared" si="29"/>
        <v>2.669143382200339</v>
      </c>
    </row>
    <row r="678" spans="1:21" x14ac:dyDescent="0.25">
      <c r="A678" t="s">
        <v>212</v>
      </c>
      <c r="B678">
        <v>27</v>
      </c>
      <c r="C678">
        <v>8</v>
      </c>
      <c r="D678">
        <v>3</v>
      </c>
      <c r="E678">
        <v>6</v>
      </c>
      <c r="F678">
        <v>22</v>
      </c>
      <c r="G678">
        <v>61</v>
      </c>
      <c r="H678" t="s">
        <v>678</v>
      </c>
      <c r="I678" t="s">
        <v>679</v>
      </c>
      <c r="J678" t="s">
        <v>672</v>
      </c>
      <c r="K678" t="s">
        <v>577</v>
      </c>
      <c r="L678">
        <v>2025</v>
      </c>
      <c r="M678" t="s">
        <v>24</v>
      </c>
      <c r="N678">
        <v>920.81</v>
      </c>
      <c r="O678">
        <v>12</v>
      </c>
      <c r="P678">
        <v>15.8320420045804</v>
      </c>
      <c r="Q678">
        <v>3.5560752060594272</v>
      </c>
      <c r="R678">
        <v>38.277237910503068</v>
      </c>
      <c r="S678">
        <v>24.792086617466094</v>
      </c>
      <c r="T678" s="3">
        <f t="shared" si="28"/>
        <v>24.792086617466094</v>
      </c>
      <c r="U678">
        <f t="shared" si="29"/>
        <v>8.9600446128856941</v>
      </c>
    </row>
    <row r="679" spans="1:21" x14ac:dyDescent="0.25">
      <c r="A679" t="s">
        <v>190</v>
      </c>
      <c r="B679">
        <v>35</v>
      </c>
      <c r="C679">
        <v>2</v>
      </c>
      <c r="D679">
        <v>3</v>
      </c>
      <c r="E679">
        <v>1</v>
      </c>
      <c r="F679">
        <v>17</v>
      </c>
      <c r="G679">
        <v>50</v>
      </c>
      <c r="H679" t="s">
        <v>688</v>
      </c>
      <c r="I679" t="s">
        <v>689</v>
      </c>
      <c r="J679" t="s">
        <v>672</v>
      </c>
      <c r="K679" t="s">
        <v>690</v>
      </c>
      <c r="L679">
        <v>2025</v>
      </c>
      <c r="M679" t="s">
        <v>24</v>
      </c>
      <c r="N679">
        <v>1156.68</v>
      </c>
      <c r="O679">
        <v>14.4</v>
      </c>
      <c r="P679">
        <v>19.345110964623199</v>
      </c>
      <c r="Q679">
        <v>4.379156352757577</v>
      </c>
      <c r="R679">
        <v>47.13680106544728</v>
      </c>
      <c r="S679">
        <v>24.599589386847359</v>
      </c>
      <c r="T679" s="3">
        <f t="shared" si="28"/>
        <v>24.599589386847359</v>
      </c>
      <c r="U679">
        <f t="shared" si="29"/>
        <v>5.2544784222241603</v>
      </c>
    </row>
    <row r="680" spans="1:21" x14ac:dyDescent="0.25">
      <c r="A680" t="s">
        <v>153</v>
      </c>
      <c r="B680">
        <v>22</v>
      </c>
      <c r="C680">
        <v>25</v>
      </c>
      <c r="D680">
        <v>2</v>
      </c>
      <c r="E680">
        <v>1</v>
      </c>
      <c r="F680">
        <v>9</v>
      </c>
      <c r="G680">
        <v>50</v>
      </c>
      <c r="H680" t="s">
        <v>699</v>
      </c>
      <c r="I680" t="s">
        <v>700</v>
      </c>
      <c r="J680" t="s">
        <v>672</v>
      </c>
      <c r="K680" t="s">
        <v>673</v>
      </c>
      <c r="L680">
        <v>2025</v>
      </c>
      <c r="M680" t="s">
        <v>24</v>
      </c>
      <c r="N680">
        <v>1006.99</v>
      </c>
      <c r="O680">
        <v>11.5</v>
      </c>
      <c r="P680">
        <v>17.4121605393624</v>
      </c>
      <c r="Q680">
        <v>4.0156580572059877</v>
      </c>
      <c r="R680">
        <v>43.22414176195953</v>
      </c>
      <c r="S680">
        <v>24.145879135717273</v>
      </c>
      <c r="T680" s="3">
        <f t="shared" si="28"/>
        <v>24.145879135717273</v>
      </c>
      <c r="U680">
        <f t="shared" si="29"/>
        <v>6.7337185963548727</v>
      </c>
    </row>
    <row r="681" spans="1:21" x14ac:dyDescent="0.25">
      <c r="A681" t="s">
        <v>99</v>
      </c>
      <c r="B681">
        <v>54</v>
      </c>
      <c r="C681">
        <v>2</v>
      </c>
      <c r="D681">
        <v>1</v>
      </c>
      <c r="E681">
        <v>6</v>
      </c>
      <c r="F681">
        <v>6</v>
      </c>
      <c r="G681">
        <v>52</v>
      </c>
      <c r="H681" t="s">
        <v>688</v>
      </c>
      <c r="I681" t="s">
        <v>689</v>
      </c>
      <c r="J681" t="s">
        <v>672</v>
      </c>
      <c r="K681" t="s">
        <v>690</v>
      </c>
      <c r="L681">
        <v>2025</v>
      </c>
      <c r="M681" t="s">
        <v>24</v>
      </c>
      <c r="N681">
        <v>1292.76</v>
      </c>
      <c r="O681">
        <v>13.7</v>
      </c>
      <c r="P681">
        <v>21.797813667325901</v>
      </c>
      <c r="Q681">
        <v>5.1539301437825644</v>
      </c>
      <c r="R681">
        <v>55.476388674661138</v>
      </c>
      <c r="S681">
        <v>23.551658325883135</v>
      </c>
      <c r="T681" s="3">
        <f t="shared" si="28"/>
        <v>23.551658325883135</v>
      </c>
      <c r="U681">
        <f t="shared" si="29"/>
        <v>1.7538446585572345</v>
      </c>
    </row>
    <row r="682" spans="1:21" x14ac:dyDescent="0.25">
      <c r="A682" t="s">
        <v>161</v>
      </c>
      <c r="B682">
        <v>42</v>
      </c>
      <c r="C682">
        <v>9</v>
      </c>
      <c r="D682">
        <v>2</v>
      </c>
      <c r="E682">
        <v>3</v>
      </c>
      <c r="F682">
        <v>11</v>
      </c>
      <c r="G682">
        <v>50</v>
      </c>
      <c r="H682" t="s">
        <v>691</v>
      </c>
      <c r="I682" t="s">
        <v>692</v>
      </c>
      <c r="J682" t="s">
        <v>672</v>
      </c>
      <c r="K682" t="s">
        <v>480</v>
      </c>
      <c r="L682">
        <v>2025</v>
      </c>
      <c r="M682" t="s">
        <v>24</v>
      </c>
      <c r="N682">
        <v>1229.26</v>
      </c>
      <c r="O682">
        <v>14.8</v>
      </c>
      <c r="P682">
        <v>20.462918706550099</v>
      </c>
      <c r="Q682">
        <v>4.8864270126662914</v>
      </c>
      <c r="R682">
        <v>52.59701172163868</v>
      </c>
      <c r="S682">
        <v>23.319715457637066</v>
      </c>
      <c r="T682" s="3">
        <f t="shared" si="28"/>
        <v>23.319715457637066</v>
      </c>
      <c r="U682">
        <f t="shared" si="29"/>
        <v>2.8567967510869678</v>
      </c>
    </row>
    <row r="683" spans="1:21" x14ac:dyDescent="0.25">
      <c r="A683" t="s">
        <v>199</v>
      </c>
      <c r="B683">
        <v>32</v>
      </c>
      <c r="C683">
        <v>32</v>
      </c>
      <c r="D683">
        <v>3</v>
      </c>
      <c r="E683">
        <v>3</v>
      </c>
      <c r="F683">
        <v>19</v>
      </c>
      <c r="G683">
        <v>52</v>
      </c>
      <c r="H683" t="s">
        <v>464</v>
      </c>
      <c r="I683" t="s">
        <v>465</v>
      </c>
      <c r="J683" t="s">
        <v>672</v>
      </c>
      <c r="K683" t="s">
        <v>466</v>
      </c>
      <c r="L683">
        <v>2025</v>
      </c>
      <c r="M683" t="s">
        <v>24</v>
      </c>
      <c r="N683">
        <v>984.31</v>
      </c>
      <c r="O683">
        <v>13.9</v>
      </c>
      <c r="P683">
        <v>16.558434823712599</v>
      </c>
      <c r="Q683">
        <v>3.969460451952239</v>
      </c>
      <c r="R683">
        <v>42.726875358768702</v>
      </c>
      <c r="S683">
        <v>23.22923394232345</v>
      </c>
      <c r="T683" s="3">
        <f t="shared" si="28"/>
        <v>23.22923394232345</v>
      </c>
      <c r="U683">
        <f t="shared" si="29"/>
        <v>6.6707991186108515</v>
      </c>
    </row>
    <row r="684" spans="1:21" x14ac:dyDescent="0.25">
      <c r="A684" t="s">
        <v>176</v>
      </c>
      <c r="B684">
        <v>66</v>
      </c>
      <c r="C684">
        <v>30</v>
      </c>
      <c r="D684">
        <v>2</v>
      </c>
      <c r="E684">
        <v>6</v>
      </c>
      <c r="F684">
        <v>14</v>
      </c>
      <c r="G684">
        <v>51</v>
      </c>
      <c r="H684" t="s">
        <v>502</v>
      </c>
      <c r="I684" t="s">
        <v>503</v>
      </c>
      <c r="J684" t="s">
        <v>672</v>
      </c>
      <c r="K684" t="s">
        <v>480</v>
      </c>
      <c r="L684">
        <v>2025</v>
      </c>
      <c r="M684" t="s">
        <v>24</v>
      </c>
      <c r="N684">
        <v>1319.98</v>
      </c>
      <c r="O684">
        <v>13.6</v>
      </c>
      <c r="P684">
        <v>22.282572467938301</v>
      </c>
      <c r="Q684">
        <v>5.3530162409438793</v>
      </c>
      <c r="R684">
        <v>57.619331515895823</v>
      </c>
      <c r="S684">
        <v>23.180022374257462</v>
      </c>
      <c r="T684" s="3">
        <f t="shared" si="28"/>
        <v>23.180022374257462</v>
      </c>
      <c r="U684">
        <f t="shared" si="29"/>
        <v>0.89744990631916011</v>
      </c>
    </row>
    <row r="685" spans="1:21" x14ac:dyDescent="0.25">
      <c r="A685" t="s">
        <v>164</v>
      </c>
      <c r="B685">
        <v>35</v>
      </c>
      <c r="C685">
        <v>6</v>
      </c>
      <c r="D685">
        <v>2</v>
      </c>
      <c r="E685">
        <v>3</v>
      </c>
      <c r="F685">
        <v>11</v>
      </c>
      <c r="G685">
        <v>61</v>
      </c>
      <c r="H685" t="s">
        <v>680</v>
      </c>
      <c r="I685" t="s">
        <v>681</v>
      </c>
      <c r="J685" t="s">
        <v>672</v>
      </c>
      <c r="K685" t="s">
        <v>480</v>
      </c>
      <c r="L685">
        <v>2025</v>
      </c>
      <c r="M685" t="s">
        <v>24</v>
      </c>
      <c r="N685">
        <v>1034.21</v>
      </c>
      <c r="O685">
        <v>12.9</v>
      </c>
      <c r="P685">
        <v>17.599937353471699</v>
      </c>
      <c r="Q685">
        <v>4.2633176277699878</v>
      </c>
      <c r="R685">
        <v>45.889924613553369</v>
      </c>
      <c r="S685">
        <v>22.988493745651539</v>
      </c>
      <c r="T685" s="3">
        <f t="shared" si="28"/>
        <v>22.988493745651539</v>
      </c>
      <c r="U685">
        <f t="shared" si="29"/>
        <v>5.3885563921798401</v>
      </c>
    </row>
    <row r="686" spans="1:21" x14ac:dyDescent="0.25">
      <c r="A686" t="s">
        <v>126</v>
      </c>
      <c r="B686">
        <v>26</v>
      </c>
      <c r="C686">
        <v>25</v>
      </c>
      <c r="D686">
        <v>1</v>
      </c>
      <c r="E686">
        <v>8</v>
      </c>
      <c r="F686">
        <v>8</v>
      </c>
      <c r="G686">
        <v>51</v>
      </c>
      <c r="H686" t="s">
        <v>699</v>
      </c>
      <c r="I686" t="s">
        <v>700</v>
      </c>
      <c r="J686" t="s">
        <v>672</v>
      </c>
      <c r="K686" t="s">
        <v>673</v>
      </c>
      <c r="L686">
        <v>2025</v>
      </c>
      <c r="M686" t="s">
        <v>24</v>
      </c>
      <c r="N686">
        <v>911.74</v>
      </c>
      <c r="O686">
        <v>11.6</v>
      </c>
      <c r="P686">
        <v>15.7473510030872</v>
      </c>
      <c r="Q686">
        <v>3.8252397172261059</v>
      </c>
      <c r="R686">
        <v>41.174497792250087</v>
      </c>
      <c r="S686">
        <v>22.924292213291054</v>
      </c>
      <c r="T686" s="3">
        <f t="shared" si="28"/>
        <v>22.924292213291054</v>
      </c>
      <c r="U686">
        <f t="shared" si="29"/>
        <v>7.1769412102038537</v>
      </c>
    </row>
    <row r="687" spans="1:21" x14ac:dyDescent="0.25">
      <c r="A687" t="s">
        <v>45</v>
      </c>
      <c r="B687">
        <v>24</v>
      </c>
      <c r="C687">
        <v>12</v>
      </c>
      <c r="D687">
        <v>1</v>
      </c>
      <c r="E687">
        <v>2</v>
      </c>
      <c r="F687">
        <v>2</v>
      </c>
      <c r="G687">
        <v>52</v>
      </c>
      <c r="H687" t="s">
        <v>489</v>
      </c>
      <c r="I687" t="s">
        <v>490</v>
      </c>
      <c r="J687" t="s">
        <v>672</v>
      </c>
      <c r="K687" t="s">
        <v>480</v>
      </c>
      <c r="L687">
        <v>2025</v>
      </c>
      <c r="M687" t="s">
        <v>24</v>
      </c>
      <c r="N687">
        <v>938.95</v>
      </c>
      <c r="O687">
        <v>12.8</v>
      </c>
      <c r="P687">
        <v>15.997170935292001</v>
      </c>
      <c r="Q687">
        <v>3.898607934410621</v>
      </c>
      <c r="R687">
        <v>41.964225945202479</v>
      </c>
      <c r="S687">
        <v>22.849710777782697</v>
      </c>
      <c r="T687" s="3">
        <f t="shared" si="28"/>
        <v>22.849710777782697</v>
      </c>
      <c r="U687">
        <f t="shared" si="29"/>
        <v>6.852539842490696</v>
      </c>
    </row>
    <row r="688" spans="1:21" x14ac:dyDescent="0.25">
      <c r="A688" t="s">
        <v>163</v>
      </c>
      <c r="B688">
        <v>46</v>
      </c>
      <c r="C688">
        <v>12</v>
      </c>
      <c r="D688">
        <v>2</v>
      </c>
      <c r="E688">
        <v>3</v>
      </c>
      <c r="F688">
        <v>11</v>
      </c>
      <c r="G688">
        <v>52</v>
      </c>
      <c r="H688" t="s">
        <v>489</v>
      </c>
      <c r="I688" t="s">
        <v>490</v>
      </c>
      <c r="J688" t="s">
        <v>672</v>
      </c>
      <c r="K688" t="s">
        <v>480</v>
      </c>
      <c r="L688">
        <v>2025</v>
      </c>
      <c r="M688" t="s">
        <v>24</v>
      </c>
      <c r="N688">
        <v>1242.8599999999999</v>
      </c>
      <c r="O688">
        <v>14.1</v>
      </c>
      <c r="P688">
        <v>20.859294179325801</v>
      </c>
      <c r="Q688">
        <v>5.1044023659477489</v>
      </c>
      <c r="R688">
        <v>54.943276626824982</v>
      </c>
      <c r="S688">
        <v>22.756307411384906</v>
      </c>
      <c r="T688" s="3">
        <f t="shared" si="28"/>
        <v>22.756307411384906</v>
      </c>
      <c r="U688">
        <f t="shared" si="29"/>
        <v>1.8970132320591055</v>
      </c>
    </row>
    <row r="689" spans="1:21" x14ac:dyDescent="0.25">
      <c r="A689" t="s">
        <v>183</v>
      </c>
      <c r="B689">
        <v>44</v>
      </c>
      <c r="C689">
        <v>10</v>
      </c>
      <c r="D689">
        <v>2</v>
      </c>
      <c r="E689">
        <v>8</v>
      </c>
      <c r="F689">
        <v>16</v>
      </c>
      <c r="G689">
        <v>51</v>
      </c>
      <c r="H689" t="s">
        <v>487</v>
      </c>
      <c r="I689" t="s">
        <v>488</v>
      </c>
      <c r="J689" t="s">
        <v>672</v>
      </c>
      <c r="K689" t="s">
        <v>480</v>
      </c>
      <c r="L689">
        <v>2025</v>
      </c>
      <c r="M689" t="s">
        <v>24</v>
      </c>
      <c r="N689">
        <v>1233.79</v>
      </c>
      <c r="O689">
        <v>14.3</v>
      </c>
      <c r="P689">
        <v>20.658857597757802</v>
      </c>
      <c r="Q689">
        <v>5.0763003758773007</v>
      </c>
      <c r="R689">
        <v>54.640789615905668</v>
      </c>
      <c r="S689">
        <v>22.662409037535955</v>
      </c>
      <c r="T689" s="3">
        <f t="shared" si="28"/>
        <v>22.662409037535955</v>
      </c>
      <c r="U689">
        <f t="shared" si="29"/>
        <v>2.0035514397781533</v>
      </c>
    </row>
    <row r="690" spans="1:21" x14ac:dyDescent="0.25">
      <c r="A690" t="s">
        <v>180</v>
      </c>
      <c r="B690">
        <v>30</v>
      </c>
      <c r="C690">
        <v>13</v>
      </c>
      <c r="D690">
        <v>2</v>
      </c>
      <c r="E690">
        <v>7</v>
      </c>
      <c r="F690">
        <v>15</v>
      </c>
      <c r="G690">
        <v>51</v>
      </c>
      <c r="H690" t="s">
        <v>605</v>
      </c>
      <c r="I690" t="s">
        <v>606</v>
      </c>
      <c r="J690" t="s">
        <v>672</v>
      </c>
      <c r="K690" t="s">
        <v>577</v>
      </c>
      <c r="L690">
        <v>2025</v>
      </c>
      <c r="M690" t="s">
        <v>24</v>
      </c>
      <c r="N690">
        <v>1152.1400000000001</v>
      </c>
      <c r="O690">
        <v>13.5</v>
      </c>
      <c r="P690">
        <v>19.4717774136248</v>
      </c>
      <c r="Q690">
        <v>4.8532729285215748</v>
      </c>
      <c r="R690">
        <v>52.240144475313379</v>
      </c>
      <c r="S690">
        <v>22.341790014080278</v>
      </c>
      <c r="T690" s="3">
        <f t="shared" si="28"/>
        <v>22.341790014080278</v>
      </c>
      <c r="U690">
        <f t="shared" si="29"/>
        <v>2.8700126004554782</v>
      </c>
    </row>
    <row r="691" spans="1:21" x14ac:dyDescent="0.25">
      <c r="A691" t="s">
        <v>177</v>
      </c>
      <c r="B691">
        <v>47</v>
      </c>
      <c r="C691">
        <v>31</v>
      </c>
      <c r="D691">
        <v>2</v>
      </c>
      <c r="E691">
        <v>6</v>
      </c>
      <c r="F691">
        <v>14</v>
      </c>
      <c r="G691">
        <v>52</v>
      </c>
      <c r="H691" t="s">
        <v>518</v>
      </c>
      <c r="I691" t="s">
        <v>485</v>
      </c>
      <c r="J691" t="s">
        <v>672</v>
      </c>
      <c r="K691" t="s">
        <v>519</v>
      </c>
      <c r="L691">
        <v>2025</v>
      </c>
      <c r="M691" t="s">
        <v>24</v>
      </c>
      <c r="N691">
        <v>1106.78</v>
      </c>
      <c r="O691">
        <v>14</v>
      </c>
      <c r="P691">
        <v>18.597046975999099</v>
      </c>
      <c r="Q691">
        <v>4.6629040176937258</v>
      </c>
      <c r="R691">
        <v>50.191032556053493</v>
      </c>
      <c r="S691">
        <v>22.209285981444552</v>
      </c>
      <c r="T691" s="3">
        <f t="shared" si="28"/>
        <v>22.209285981444552</v>
      </c>
      <c r="U691">
        <f t="shared" si="29"/>
        <v>3.6122390054454527</v>
      </c>
    </row>
    <row r="692" spans="1:21" x14ac:dyDescent="0.25">
      <c r="A692" t="s">
        <v>215</v>
      </c>
      <c r="B692">
        <v>33</v>
      </c>
      <c r="C692">
        <v>3</v>
      </c>
      <c r="D692">
        <v>3</v>
      </c>
      <c r="E692">
        <v>7</v>
      </c>
      <c r="F692">
        <v>23</v>
      </c>
      <c r="G692">
        <v>52</v>
      </c>
      <c r="H692" t="s">
        <v>478</v>
      </c>
      <c r="I692" t="s">
        <v>479</v>
      </c>
      <c r="J692" t="s">
        <v>672</v>
      </c>
      <c r="K692" t="s">
        <v>480</v>
      </c>
      <c r="L692">
        <v>2025</v>
      </c>
      <c r="M692" t="s">
        <v>24</v>
      </c>
      <c r="N692">
        <v>1152.1400000000001</v>
      </c>
      <c r="O692">
        <v>13</v>
      </c>
      <c r="P692">
        <v>19.584331040293101</v>
      </c>
      <c r="Q692">
        <v>4.9885493511915078</v>
      </c>
      <c r="R692">
        <v>53.696246361290271</v>
      </c>
      <c r="S692">
        <v>21.861580317119234</v>
      </c>
      <c r="T692" s="3">
        <f t="shared" si="28"/>
        <v>21.861580317119234</v>
      </c>
      <c r="U692">
        <f t="shared" si="29"/>
        <v>2.277249276826133</v>
      </c>
    </row>
    <row r="693" spans="1:21" x14ac:dyDescent="0.25">
      <c r="A693" t="s">
        <v>209</v>
      </c>
      <c r="B693">
        <v>34</v>
      </c>
      <c r="C693">
        <v>30</v>
      </c>
      <c r="D693">
        <v>3</v>
      </c>
      <c r="E693">
        <v>6</v>
      </c>
      <c r="F693">
        <v>22</v>
      </c>
      <c r="G693">
        <v>50</v>
      </c>
      <c r="H693" t="s">
        <v>502</v>
      </c>
      <c r="I693" t="s">
        <v>503</v>
      </c>
      <c r="J693" t="s">
        <v>672</v>
      </c>
      <c r="K693" t="s">
        <v>480</v>
      </c>
      <c r="L693">
        <v>2025</v>
      </c>
      <c r="M693" t="s">
        <v>24</v>
      </c>
      <c r="N693">
        <v>1170.29</v>
      </c>
      <c r="O693">
        <v>13.3</v>
      </c>
      <c r="P693">
        <v>19.824252732213399</v>
      </c>
      <c r="Q693">
        <v>5.0541842366128016</v>
      </c>
      <c r="R693">
        <v>54.402733704476532</v>
      </c>
      <c r="S693">
        <v>21.842022042930843</v>
      </c>
      <c r="T693" s="3">
        <f t="shared" si="28"/>
        <v>21.842022042930843</v>
      </c>
      <c r="U693">
        <f t="shared" si="29"/>
        <v>2.0177693107174441</v>
      </c>
    </row>
    <row r="694" spans="1:21" x14ac:dyDescent="0.25">
      <c r="A694" t="s">
        <v>206</v>
      </c>
      <c r="B694">
        <v>35</v>
      </c>
      <c r="C694">
        <v>9</v>
      </c>
      <c r="D694">
        <v>3</v>
      </c>
      <c r="E694">
        <v>5</v>
      </c>
      <c r="F694">
        <v>21</v>
      </c>
      <c r="G694">
        <v>51</v>
      </c>
      <c r="H694" t="s">
        <v>691</v>
      </c>
      <c r="I694" t="s">
        <v>692</v>
      </c>
      <c r="J694" t="s">
        <v>672</v>
      </c>
      <c r="K694" t="s">
        <v>480</v>
      </c>
      <c r="L694">
        <v>2025</v>
      </c>
      <c r="M694" t="s">
        <v>24</v>
      </c>
      <c r="N694">
        <v>1111.32</v>
      </c>
      <c r="O694">
        <v>14.5</v>
      </c>
      <c r="P694">
        <v>18.564765985497701</v>
      </c>
      <c r="Q694">
        <v>4.7638639229124058</v>
      </c>
      <c r="R694">
        <v>51.277754879836841</v>
      </c>
      <c r="S694">
        <v>21.700873522609896</v>
      </c>
      <c r="T694" s="3">
        <f t="shared" si="28"/>
        <v>21.700873522609896</v>
      </c>
      <c r="U694">
        <f t="shared" si="29"/>
        <v>3.1361075371121956</v>
      </c>
    </row>
    <row r="695" spans="1:21" x14ac:dyDescent="0.25">
      <c r="A695" t="s">
        <v>64</v>
      </c>
      <c r="B695">
        <v>37</v>
      </c>
      <c r="C695">
        <v>30</v>
      </c>
      <c r="D695">
        <v>1</v>
      </c>
      <c r="E695">
        <v>4</v>
      </c>
      <c r="F695">
        <v>4</v>
      </c>
      <c r="G695">
        <v>50</v>
      </c>
      <c r="H695" t="s">
        <v>502</v>
      </c>
      <c r="I695" t="s">
        <v>503</v>
      </c>
      <c r="J695" t="s">
        <v>672</v>
      </c>
      <c r="K695" t="s">
        <v>480</v>
      </c>
      <c r="L695">
        <v>2025</v>
      </c>
      <c r="M695" t="s">
        <v>24</v>
      </c>
      <c r="N695">
        <v>1115.8599999999999</v>
      </c>
      <c r="O695">
        <v>13.5</v>
      </c>
      <c r="P695">
        <v>18.8586261606813</v>
      </c>
      <c r="Q695">
        <v>4.8495902987329922</v>
      </c>
      <c r="R695">
        <v>52.200505016532063</v>
      </c>
      <c r="S695">
        <v>21.654695710572874</v>
      </c>
      <c r="T695" s="3">
        <f t="shared" si="28"/>
        <v>21.654695710572874</v>
      </c>
      <c r="U695">
        <f t="shared" si="29"/>
        <v>2.7960695498915733</v>
      </c>
    </row>
    <row r="696" spans="1:21" x14ac:dyDescent="0.25">
      <c r="A696" t="s">
        <v>197</v>
      </c>
      <c r="B696">
        <v>45</v>
      </c>
      <c r="C696">
        <v>31</v>
      </c>
      <c r="D696">
        <v>3</v>
      </c>
      <c r="E696">
        <v>3</v>
      </c>
      <c r="F696">
        <v>19</v>
      </c>
      <c r="G696">
        <v>50</v>
      </c>
      <c r="H696" t="s">
        <v>518</v>
      </c>
      <c r="I696" t="s">
        <v>485</v>
      </c>
      <c r="J696" t="s">
        <v>672</v>
      </c>
      <c r="K696" t="s">
        <v>519</v>
      </c>
      <c r="L696">
        <v>2025</v>
      </c>
      <c r="M696" t="s">
        <v>24</v>
      </c>
      <c r="N696">
        <v>1170.29</v>
      </c>
      <c r="O696">
        <v>14.1</v>
      </c>
      <c r="P696">
        <v>19.6413299849727</v>
      </c>
      <c r="Q696">
        <v>5.0891436932677117</v>
      </c>
      <c r="R696">
        <v>54.779033799964317</v>
      </c>
      <c r="S696">
        <v>21.491823378966409</v>
      </c>
      <c r="T696" s="3">
        <f t="shared" si="28"/>
        <v>21.491823378966409</v>
      </c>
      <c r="U696">
        <f t="shared" si="29"/>
        <v>1.8504933939937089</v>
      </c>
    </row>
    <row r="697" spans="1:21" x14ac:dyDescent="0.25">
      <c r="A697" t="s">
        <v>179</v>
      </c>
      <c r="B697">
        <v>45</v>
      </c>
      <c r="C697">
        <v>19</v>
      </c>
      <c r="D697">
        <v>2</v>
      </c>
      <c r="E697">
        <v>7</v>
      </c>
      <c r="F697">
        <v>15</v>
      </c>
      <c r="G697">
        <v>50</v>
      </c>
      <c r="H697" t="s">
        <v>515</v>
      </c>
      <c r="I697" t="s">
        <v>516</v>
      </c>
      <c r="J697" t="s">
        <v>672</v>
      </c>
      <c r="K697" t="s">
        <v>517</v>
      </c>
      <c r="L697">
        <v>2025</v>
      </c>
      <c r="M697" t="s">
        <v>24</v>
      </c>
      <c r="N697">
        <v>1206.58</v>
      </c>
      <c r="O697">
        <v>14.4</v>
      </c>
      <c r="P697">
        <v>20.179672846158802</v>
      </c>
      <c r="Q697">
        <v>5.2318461722663709</v>
      </c>
      <c r="R697">
        <v>56.31506901365799</v>
      </c>
      <c r="S697">
        <v>21.478613301626361</v>
      </c>
      <c r="T697" s="3">
        <f t="shared" si="28"/>
        <v>21.478613301626361</v>
      </c>
      <c r="U697">
        <f t="shared" si="29"/>
        <v>1.2989404554675588</v>
      </c>
    </row>
    <row r="698" spans="1:21" x14ac:dyDescent="0.25">
      <c r="A698" t="s">
        <v>160</v>
      </c>
      <c r="B698">
        <v>48</v>
      </c>
      <c r="C698">
        <v>1</v>
      </c>
      <c r="D698">
        <v>2</v>
      </c>
      <c r="E698">
        <v>2</v>
      </c>
      <c r="F698">
        <v>10</v>
      </c>
      <c r="G698">
        <v>61</v>
      </c>
      <c r="H698" t="s">
        <v>693</v>
      </c>
      <c r="I698" t="s">
        <v>694</v>
      </c>
      <c r="J698" t="s">
        <v>672</v>
      </c>
      <c r="K698" t="s">
        <v>695</v>
      </c>
      <c r="L698">
        <v>2025</v>
      </c>
      <c r="M698" t="s">
        <v>24</v>
      </c>
      <c r="N698">
        <v>907.2</v>
      </c>
      <c r="O698">
        <v>11.9</v>
      </c>
      <c r="P698">
        <v>15.615762103567</v>
      </c>
      <c r="Q698">
        <v>4.0696923790910038</v>
      </c>
      <c r="R698">
        <v>43.805761799297663</v>
      </c>
      <c r="S698">
        <v>21.367252663616767</v>
      </c>
      <c r="T698" s="3">
        <f t="shared" si="28"/>
        <v>21.367252663616767</v>
      </c>
      <c r="U698">
        <f t="shared" si="29"/>
        <v>5.751490560049767</v>
      </c>
    </row>
    <row r="699" spans="1:21" x14ac:dyDescent="0.25">
      <c r="A699" t="s">
        <v>29</v>
      </c>
      <c r="B699">
        <v>47</v>
      </c>
      <c r="C699">
        <v>7</v>
      </c>
      <c r="D699">
        <v>1</v>
      </c>
      <c r="E699">
        <v>1</v>
      </c>
      <c r="F699">
        <v>1</v>
      </c>
      <c r="G699">
        <v>52</v>
      </c>
      <c r="H699" t="s">
        <v>674</v>
      </c>
      <c r="I699" t="s">
        <v>675</v>
      </c>
      <c r="J699" t="s">
        <v>672</v>
      </c>
      <c r="K699" t="s">
        <v>577</v>
      </c>
      <c r="L699">
        <v>2025</v>
      </c>
      <c r="M699" t="s">
        <v>24</v>
      </c>
      <c r="N699">
        <v>1106.78</v>
      </c>
      <c r="O699">
        <v>12.5</v>
      </c>
      <c r="P699">
        <v>18.921414074417701</v>
      </c>
      <c r="Q699">
        <v>4.9600291835529546</v>
      </c>
      <c r="R699">
        <v>53.389258128845647</v>
      </c>
      <c r="S699">
        <v>21.24302901687685</v>
      </c>
      <c r="T699" s="3">
        <f t="shared" si="28"/>
        <v>21.24302901687685</v>
      </c>
      <c r="U699">
        <f t="shared" si="29"/>
        <v>2.3216149424591492</v>
      </c>
    </row>
    <row r="700" spans="1:21" x14ac:dyDescent="0.25">
      <c r="A700" t="s">
        <v>106</v>
      </c>
      <c r="B700">
        <v>37</v>
      </c>
      <c r="C700">
        <v>9</v>
      </c>
      <c r="D700">
        <v>1</v>
      </c>
      <c r="E700">
        <v>7</v>
      </c>
      <c r="F700">
        <v>7</v>
      </c>
      <c r="G700">
        <v>50</v>
      </c>
      <c r="H700" t="s">
        <v>691</v>
      </c>
      <c r="I700" t="s">
        <v>692</v>
      </c>
      <c r="J700" t="s">
        <v>672</v>
      </c>
      <c r="K700" t="s">
        <v>480</v>
      </c>
      <c r="L700">
        <v>2025</v>
      </c>
      <c r="M700" t="s">
        <v>24</v>
      </c>
      <c r="N700">
        <v>1043.28</v>
      </c>
      <c r="O700">
        <v>14.1</v>
      </c>
      <c r="P700">
        <v>17.5096828535853</v>
      </c>
      <c r="Q700">
        <v>4.5949532390324874</v>
      </c>
      <c r="R700">
        <v>49.459617169621779</v>
      </c>
      <c r="S700">
        <v>21.219945691139042</v>
      </c>
      <c r="T700" s="3">
        <f t="shared" si="28"/>
        <v>21.219945691139042</v>
      </c>
      <c r="U700">
        <f t="shared" si="29"/>
        <v>3.7102628375537421</v>
      </c>
    </row>
    <row r="701" spans="1:21" x14ac:dyDescent="0.25">
      <c r="A701" t="s">
        <v>33</v>
      </c>
      <c r="B701">
        <v>66</v>
      </c>
      <c r="C701">
        <v>19</v>
      </c>
      <c r="D701">
        <v>1</v>
      </c>
      <c r="E701">
        <v>1</v>
      </c>
      <c r="F701">
        <v>1</v>
      </c>
      <c r="G701">
        <v>61</v>
      </c>
      <c r="H701" t="s">
        <v>515</v>
      </c>
      <c r="I701" t="s">
        <v>516</v>
      </c>
      <c r="J701" t="s">
        <v>672</v>
      </c>
      <c r="K701" t="s">
        <v>517</v>
      </c>
      <c r="L701">
        <v>2025</v>
      </c>
      <c r="M701" t="s">
        <v>24</v>
      </c>
      <c r="N701">
        <v>1088.6400000000001</v>
      </c>
      <c r="O701">
        <v>13</v>
      </c>
      <c r="P701">
        <v>18.504943968358599</v>
      </c>
      <c r="Q701">
        <v>4.8957290189304272</v>
      </c>
      <c r="R701">
        <v>52.697137586865217</v>
      </c>
      <c r="S701">
        <v>21.048322399580957</v>
      </c>
      <c r="T701" s="3">
        <f t="shared" si="28"/>
        <v>21.048322399580957</v>
      </c>
      <c r="U701">
        <f t="shared" si="29"/>
        <v>2.543378431222358</v>
      </c>
    </row>
    <row r="702" spans="1:21" x14ac:dyDescent="0.25">
      <c r="A702" t="s">
        <v>203</v>
      </c>
      <c r="B702">
        <v>45</v>
      </c>
      <c r="C702">
        <v>21</v>
      </c>
      <c r="D702">
        <v>3</v>
      </c>
      <c r="E702">
        <v>4</v>
      </c>
      <c r="F702">
        <v>20</v>
      </c>
      <c r="G702">
        <v>52</v>
      </c>
      <c r="H702" t="s">
        <v>684</v>
      </c>
      <c r="I702" t="s">
        <v>685</v>
      </c>
      <c r="J702" t="s">
        <v>672</v>
      </c>
      <c r="K702" t="s">
        <v>673</v>
      </c>
      <c r="L702">
        <v>2025</v>
      </c>
      <c r="M702" t="s">
        <v>24</v>
      </c>
      <c r="N702">
        <v>1165.75</v>
      </c>
      <c r="O702">
        <v>13</v>
      </c>
      <c r="P702">
        <v>19.815676836340799</v>
      </c>
      <c r="Q702">
        <v>5.2749138609206927</v>
      </c>
      <c r="R702">
        <v>56.77864530756424</v>
      </c>
      <c r="S702">
        <v>20.918985705564747</v>
      </c>
      <c r="T702" s="3">
        <f t="shared" si="28"/>
        <v>20.918985705564747</v>
      </c>
      <c r="U702">
        <f t="shared" si="29"/>
        <v>1.1033088692239481</v>
      </c>
    </row>
    <row r="703" spans="1:21" x14ac:dyDescent="0.25">
      <c r="A703" t="s">
        <v>199</v>
      </c>
      <c r="B703">
        <v>29</v>
      </c>
      <c r="C703">
        <v>32</v>
      </c>
      <c r="D703">
        <v>3</v>
      </c>
      <c r="E703">
        <v>3</v>
      </c>
      <c r="F703">
        <v>19</v>
      </c>
      <c r="G703">
        <v>52</v>
      </c>
      <c r="H703" t="s">
        <v>464</v>
      </c>
      <c r="I703" t="s">
        <v>465</v>
      </c>
      <c r="J703" t="s">
        <v>672</v>
      </c>
      <c r="K703" t="s">
        <v>466</v>
      </c>
      <c r="L703">
        <v>2025</v>
      </c>
      <c r="M703" t="s">
        <v>24</v>
      </c>
      <c r="N703">
        <v>984.31</v>
      </c>
      <c r="O703">
        <v>13.9</v>
      </c>
      <c r="P703">
        <v>16.558434823712599</v>
      </c>
      <c r="Q703">
        <v>4.520914351141168</v>
      </c>
      <c r="R703">
        <v>48.662669984248417</v>
      </c>
      <c r="S703">
        <v>20.395769152300907</v>
      </c>
      <c r="T703" s="3">
        <f t="shared" si="28"/>
        <v>20.395769152300907</v>
      </c>
      <c r="U703">
        <f t="shared" si="29"/>
        <v>3.8373343285883088</v>
      </c>
    </row>
    <row r="704" spans="1:21" x14ac:dyDescent="0.25">
      <c r="A704" t="s">
        <v>205</v>
      </c>
      <c r="B704">
        <v>35</v>
      </c>
      <c r="C704">
        <v>23</v>
      </c>
      <c r="D704">
        <v>3</v>
      </c>
      <c r="E704">
        <v>5</v>
      </c>
      <c r="F704">
        <v>21</v>
      </c>
      <c r="G704">
        <v>50</v>
      </c>
      <c r="H704" t="s">
        <v>676</v>
      </c>
      <c r="I704" t="s">
        <v>677</v>
      </c>
      <c r="J704" t="s">
        <v>672</v>
      </c>
      <c r="K704" t="s">
        <v>673</v>
      </c>
      <c r="L704">
        <v>2025</v>
      </c>
      <c r="M704" t="s">
        <v>24</v>
      </c>
      <c r="N704">
        <v>970.7</v>
      </c>
      <c r="O704">
        <v>12.8</v>
      </c>
      <c r="P704">
        <v>16.538105146054601</v>
      </c>
      <c r="Q704">
        <v>4.5520282887485246</v>
      </c>
      <c r="R704">
        <v>48.997577297260243</v>
      </c>
      <c r="S704">
        <v>20.231490558002339</v>
      </c>
      <c r="T704" s="3">
        <f t="shared" si="28"/>
        <v>20.231490558002339</v>
      </c>
      <c r="U704">
        <f t="shared" si="29"/>
        <v>3.6933854119477374</v>
      </c>
    </row>
    <row r="705" spans="1:21" x14ac:dyDescent="0.25">
      <c r="A705" t="s">
        <v>219</v>
      </c>
      <c r="B705">
        <v>40</v>
      </c>
      <c r="C705">
        <v>10</v>
      </c>
      <c r="D705">
        <v>3</v>
      </c>
      <c r="E705">
        <v>8</v>
      </c>
      <c r="F705">
        <v>24</v>
      </c>
      <c r="G705">
        <v>52</v>
      </c>
      <c r="H705" t="s">
        <v>487</v>
      </c>
      <c r="I705" t="s">
        <v>488</v>
      </c>
      <c r="J705" t="s">
        <v>672</v>
      </c>
      <c r="K705" t="s">
        <v>480</v>
      </c>
      <c r="L705">
        <v>2025</v>
      </c>
      <c r="M705" t="s">
        <v>24</v>
      </c>
      <c r="N705">
        <v>1038.74</v>
      </c>
      <c r="O705">
        <v>12.8</v>
      </c>
      <c r="P705">
        <v>17.697322900394301</v>
      </c>
      <c r="Q705">
        <v>5.048378214183221</v>
      </c>
      <c r="R705">
        <v>54.340238259646767</v>
      </c>
      <c r="S705">
        <v>19.521032086408226</v>
      </c>
      <c r="T705" s="3">
        <f t="shared" si="28"/>
        <v>19.521032086408226</v>
      </c>
      <c r="U705">
        <f t="shared" si="29"/>
        <v>1.8237091860139252</v>
      </c>
    </row>
    <row r="706" spans="1:21" x14ac:dyDescent="0.25">
      <c r="A706" t="s">
        <v>68</v>
      </c>
      <c r="B706">
        <v>45</v>
      </c>
      <c r="C706">
        <v>6</v>
      </c>
      <c r="D706">
        <v>1</v>
      </c>
      <c r="E706">
        <v>4</v>
      </c>
      <c r="F706">
        <v>4</v>
      </c>
      <c r="G706">
        <v>51</v>
      </c>
      <c r="H706" t="s">
        <v>680</v>
      </c>
      <c r="I706" t="s">
        <v>681</v>
      </c>
      <c r="J706" t="s">
        <v>672</v>
      </c>
      <c r="K706" t="s">
        <v>480</v>
      </c>
      <c r="L706">
        <v>2025</v>
      </c>
      <c r="M706" t="s">
        <v>24</v>
      </c>
      <c r="N706">
        <v>1056.8900000000001</v>
      </c>
      <c r="O706">
        <v>13.3</v>
      </c>
      <c r="P706">
        <v>17.903301292969299</v>
      </c>
      <c r="Q706">
        <v>5.1206842433468172</v>
      </c>
      <c r="R706">
        <v>55.118533126960813</v>
      </c>
      <c r="S706">
        <v>19.4693838645657</v>
      </c>
      <c r="T706" s="3">
        <f t="shared" si="28"/>
        <v>19.4693838645657</v>
      </c>
      <c r="U706">
        <f t="shared" si="29"/>
        <v>1.5660825715964002</v>
      </c>
    </row>
    <row r="707" spans="1:21" x14ac:dyDescent="0.25">
      <c r="A707" t="s">
        <v>162</v>
      </c>
      <c r="B707">
        <v>38</v>
      </c>
      <c r="C707">
        <v>3</v>
      </c>
      <c r="D707">
        <v>2</v>
      </c>
      <c r="E707">
        <v>3</v>
      </c>
      <c r="F707">
        <v>11</v>
      </c>
      <c r="G707">
        <v>51</v>
      </c>
      <c r="H707" t="s">
        <v>478</v>
      </c>
      <c r="I707" t="s">
        <v>479</v>
      </c>
      <c r="J707" t="s">
        <v>672</v>
      </c>
      <c r="K707" t="s">
        <v>480</v>
      </c>
      <c r="L707">
        <v>2025</v>
      </c>
      <c r="M707" t="s">
        <v>24</v>
      </c>
      <c r="N707">
        <v>1034.21</v>
      </c>
      <c r="O707">
        <v>14.1</v>
      </c>
      <c r="P707">
        <v>17.357458308418099</v>
      </c>
      <c r="Q707">
        <v>4.9817715240236229</v>
      </c>
      <c r="R707">
        <v>53.623290507437872</v>
      </c>
      <c r="S707">
        <v>19.402129954376274</v>
      </c>
      <c r="T707" s="3">
        <f t="shared" si="28"/>
        <v>19.402129954376274</v>
      </c>
      <c r="U707">
        <f t="shared" si="29"/>
        <v>2.0446716459581751</v>
      </c>
    </row>
    <row r="708" spans="1:21" x14ac:dyDescent="0.25">
      <c r="A708" t="s">
        <v>122</v>
      </c>
      <c r="B708">
        <v>49</v>
      </c>
      <c r="C708">
        <v>32</v>
      </c>
      <c r="D708">
        <v>1</v>
      </c>
      <c r="E708">
        <v>8</v>
      </c>
      <c r="F708">
        <v>8</v>
      </c>
      <c r="G708">
        <v>50</v>
      </c>
      <c r="H708" t="s">
        <v>464</v>
      </c>
      <c r="I708" t="s">
        <v>465</v>
      </c>
      <c r="J708" t="s">
        <v>672</v>
      </c>
      <c r="K708" t="s">
        <v>466</v>
      </c>
      <c r="L708">
        <v>2025</v>
      </c>
      <c r="M708" t="s">
        <v>24</v>
      </c>
      <c r="N708">
        <v>1075.03</v>
      </c>
      <c r="O708">
        <v>13.2</v>
      </c>
      <c r="P708">
        <v>18.231589900650398</v>
      </c>
      <c r="Q708">
        <v>5.2687070086529522</v>
      </c>
      <c r="R708">
        <v>56.711835370439509</v>
      </c>
      <c r="S708">
        <v>19.269372812691554</v>
      </c>
      <c r="T708" s="3">
        <f t="shared" si="28"/>
        <v>19.269372812691554</v>
      </c>
      <c r="U708">
        <f t="shared" si="29"/>
        <v>1.0377829120411555</v>
      </c>
    </row>
    <row r="709" spans="1:21" x14ac:dyDescent="0.25">
      <c r="A709" t="s">
        <v>198</v>
      </c>
      <c r="B709">
        <v>38</v>
      </c>
      <c r="C709">
        <v>19</v>
      </c>
      <c r="D709">
        <v>3</v>
      </c>
      <c r="E709">
        <v>3</v>
      </c>
      <c r="F709">
        <v>19</v>
      </c>
      <c r="G709">
        <v>51</v>
      </c>
      <c r="H709" t="s">
        <v>515</v>
      </c>
      <c r="I709" t="s">
        <v>516</v>
      </c>
      <c r="J709" t="s">
        <v>672</v>
      </c>
      <c r="K709" t="s">
        <v>517</v>
      </c>
      <c r="L709">
        <v>2025</v>
      </c>
      <c r="M709" t="s">
        <v>24</v>
      </c>
      <c r="N709">
        <v>929.88</v>
      </c>
      <c r="O709">
        <v>14.4</v>
      </c>
      <c r="P709">
        <v>15.551951951952001</v>
      </c>
      <c r="Q709">
        <v>4.5012559376445269</v>
      </c>
      <c r="R709">
        <v>48.451068787211923</v>
      </c>
      <c r="S709">
        <v>19.239699419098031</v>
      </c>
      <c r="T709" s="3">
        <f t="shared" si="28"/>
        <v>19.239699419098031</v>
      </c>
      <c r="U709">
        <f t="shared" si="29"/>
        <v>3.6877474671460302</v>
      </c>
    </row>
    <row r="710" spans="1:21" x14ac:dyDescent="0.25">
      <c r="A710" t="s">
        <v>154</v>
      </c>
      <c r="B710">
        <v>54</v>
      </c>
      <c r="C710">
        <v>11</v>
      </c>
      <c r="D710">
        <v>2</v>
      </c>
      <c r="E710">
        <v>1</v>
      </c>
      <c r="F710">
        <v>9</v>
      </c>
      <c r="G710">
        <v>51</v>
      </c>
      <c r="H710" t="s">
        <v>686</v>
      </c>
      <c r="I710" t="s">
        <v>687</v>
      </c>
      <c r="J710" t="s">
        <v>672</v>
      </c>
      <c r="K710" t="s">
        <v>480</v>
      </c>
      <c r="L710">
        <v>2025</v>
      </c>
      <c r="M710" t="s">
        <v>24</v>
      </c>
      <c r="N710">
        <v>1061.42</v>
      </c>
      <c r="O710">
        <v>13.3</v>
      </c>
      <c r="P710">
        <v>17.980037712896799</v>
      </c>
      <c r="Q710">
        <v>5.2255638648616927</v>
      </c>
      <c r="R710">
        <v>56.247446884984768</v>
      </c>
      <c r="S710">
        <v>19.160397852630918</v>
      </c>
      <c r="T710" s="3">
        <f t="shared" si="28"/>
        <v>19.160397852630918</v>
      </c>
      <c r="U710">
        <f t="shared" si="29"/>
        <v>1.1803601397341197</v>
      </c>
    </row>
    <row r="711" spans="1:21" x14ac:dyDescent="0.25">
      <c r="A711" t="s">
        <v>217</v>
      </c>
      <c r="B711">
        <v>46</v>
      </c>
      <c r="C711">
        <v>11</v>
      </c>
      <c r="D711">
        <v>3</v>
      </c>
      <c r="E711">
        <v>8</v>
      </c>
      <c r="F711">
        <v>24</v>
      </c>
      <c r="G711">
        <v>50</v>
      </c>
      <c r="H711" t="s">
        <v>686</v>
      </c>
      <c r="I711" t="s">
        <v>687</v>
      </c>
      <c r="J711" t="s">
        <v>672</v>
      </c>
      <c r="K711" t="s">
        <v>480</v>
      </c>
      <c r="L711">
        <v>2025</v>
      </c>
      <c r="M711" t="s">
        <v>24</v>
      </c>
      <c r="N711">
        <v>1061.42</v>
      </c>
      <c r="O711">
        <v>13.6</v>
      </c>
      <c r="P711">
        <v>17.917823049530401</v>
      </c>
      <c r="Q711">
        <v>5.3021894688533253</v>
      </c>
      <c r="R711">
        <v>57.072237223790303</v>
      </c>
      <c r="S711">
        <v>18.818156880332712</v>
      </c>
      <c r="T711" s="3">
        <f t="shared" si="28"/>
        <v>18.818156880332712</v>
      </c>
      <c r="U711">
        <f t="shared" si="29"/>
        <v>0.90033383080231033</v>
      </c>
    </row>
    <row r="712" spans="1:21" x14ac:dyDescent="0.25">
      <c r="A712" t="s">
        <v>156</v>
      </c>
      <c r="B712">
        <v>30</v>
      </c>
      <c r="C712">
        <v>26</v>
      </c>
      <c r="D712">
        <v>2</v>
      </c>
      <c r="E712">
        <v>1</v>
      </c>
      <c r="F712">
        <v>9</v>
      </c>
      <c r="G712">
        <v>61</v>
      </c>
      <c r="H712" t="s">
        <v>682</v>
      </c>
      <c r="I712" t="s">
        <v>683</v>
      </c>
      <c r="J712" t="s">
        <v>672</v>
      </c>
      <c r="K712" t="s">
        <v>673</v>
      </c>
      <c r="L712">
        <v>2025</v>
      </c>
      <c r="M712" t="s">
        <v>24</v>
      </c>
      <c r="N712">
        <v>766.58</v>
      </c>
      <c r="O712">
        <v>12.7</v>
      </c>
      <c r="P712">
        <v>13.0754294654701</v>
      </c>
      <c r="Q712">
        <v>3.935844491145621</v>
      </c>
      <c r="R712">
        <v>42.365036518242349</v>
      </c>
      <c r="S712">
        <v>18.499718318968061</v>
      </c>
      <c r="T712" s="3">
        <f t="shared" si="28"/>
        <v>18.499718318968061</v>
      </c>
      <c r="U712">
        <f t="shared" si="29"/>
        <v>5.424288853497961</v>
      </c>
    </row>
    <row r="713" spans="1:21" x14ac:dyDescent="0.25">
      <c r="A713" t="s">
        <v>371</v>
      </c>
      <c r="B713">
        <v>31</v>
      </c>
      <c r="C713">
        <v>24</v>
      </c>
      <c r="D713">
        <v>2</v>
      </c>
      <c r="E713">
        <v>7</v>
      </c>
      <c r="F713">
        <v>15</v>
      </c>
      <c r="G713">
        <v>61</v>
      </c>
      <c r="H713" t="s">
        <v>701</v>
      </c>
      <c r="I713" t="s">
        <v>702</v>
      </c>
      <c r="J713" t="s">
        <v>672</v>
      </c>
      <c r="K713" t="s">
        <v>673</v>
      </c>
      <c r="L713">
        <v>2025</v>
      </c>
      <c r="M713" t="s">
        <v>24</v>
      </c>
      <c r="N713">
        <v>752.98</v>
      </c>
      <c r="O713">
        <v>14.4</v>
      </c>
      <c r="P713">
        <v>12.593354820816399</v>
      </c>
      <c r="Q713">
        <v>3.9499563488775808</v>
      </c>
      <c r="R713">
        <v>42.516935143683398</v>
      </c>
      <c r="S713">
        <v>17.754000503770595</v>
      </c>
      <c r="T713" s="3">
        <f t="shared" si="28"/>
        <v>17.754000503770595</v>
      </c>
      <c r="U713">
        <f t="shared" si="29"/>
        <v>5.1606456829541951</v>
      </c>
    </row>
    <row r="714" spans="1:21" x14ac:dyDescent="0.25">
      <c r="A714" t="s">
        <v>157</v>
      </c>
      <c r="B714">
        <v>46</v>
      </c>
      <c r="C714">
        <v>32</v>
      </c>
      <c r="D714">
        <v>2</v>
      </c>
      <c r="E714">
        <v>2</v>
      </c>
      <c r="F714">
        <v>10</v>
      </c>
      <c r="G714">
        <v>50</v>
      </c>
      <c r="H714" t="s">
        <v>464</v>
      </c>
      <c r="I714" t="s">
        <v>465</v>
      </c>
      <c r="J714" t="s">
        <v>672</v>
      </c>
      <c r="K714" t="s">
        <v>466</v>
      </c>
      <c r="L714">
        <v>2025</v>
      </c>
      <c r="M714" t="s">
        <v>24</v>
      </c>
      <c r="N714">
        <v>961.63</v>
      </c>
      <c r="O714">
        <v>13.7</v>
      </c>
      <c r="P714">
        <v>16.214480303312701</v>
      </c>
      <c r="Q714">
        <v>5.1837850421026497</v>
      </c>
      <c r="R714">
        <v>55.797743814688708</v>
      </c>
      <c r="S714">
        <v>17.418194409586764</v>
      </c>
      <c r="T714" s="3">
        <f t="shared" si="28"/>
        <v>17.418194409586764</v>
      </c>
      <c r="U714">
        <f t="shared" si="29"/>
        <v>1.2037141062740631</v>
      </c>
    </row>
    <row r="715" spans="1:21" x14ac:dyDescent="0.25">
      <c r="A715" t="s">
        <v>110</v>
      </c>
      <c r="B715">
        <v>31</v>
      </c>
      <c r="C715">
        <v>1</v>
      </c>
      <c r="D715">
        <v>1</v>
      </c>
      <c r="E715">
        <v>7</v>
      </c>
      <c r="F715">
        <v>7</v>
      </c>
      <c r="G715">
        <v>51</v>
      </c>
      <c r="H715" t="s">
        <v>693</v>
      </c>
      <c r="I715" t="s">
        <v>694</v>
      </c>
      <c r="J715" t="s">
        <v>672</v>
      </c>
      <c r="K715" t="s">
        <v>695</v>
      </c>
      <c r="L715">
        <v>2025</v>
      </c>
      <c r="M715" t="s">
        <v>24</v>
      </c>
      <c r="N715">
        <v>784.73</v>
      </c>
      <c r="O715">
        <v>11.4</v>
      </c>
      <c r="P715">
        <v>13.5843296483992</v>
      </c>
      <c r="Q715">
        <v>4.3596685510356776</v>
      </c>
      <c r="R715">
        <v>46.927036316492931</v>
      </c>
      <c r="S715">
        <v>17.351292198243396</v>
      </c>
      <c r="T715" s="3">
        <f t="shared" si="28"/>
        <v>17.351292198243396</v>
      </c>
      <c r="U715">
        <f t="shared" si="29"/>
        <v>3.7669625498441963</v>
      </c>
    </row>
    <row r="716" spans="1:21" x14ac:dyDescent="0.25">
      <c r="A716" t="s">
        <v>53</v>
      </c>
      <c r="B716">
        <v>26</v>
      </c>
      <c r="C716">
        <v>8</v>
      </c>
      <c r="D716">
        <v>1</v>
      </c>
      <c r="E716">
        <v>3</v>
      </c>
      <c r="F716">
        <v>3</v>
      </c>
      <c r="G716">
        <v>51</v>
      </c>
      <c r="H716" t="s">
        <v>678</v>
      </c>
      <c r="I716" t="s">
        <v>679</v>
      </c>
      <c r="J716" t="s">
        <v>672</v>
      </c>
      <c r="K716" t="s">
        <v>577</v>
      </c>
      <c r="L716">
        <v>2025</v>
      </c>
      <c r="M716" t="s">
        <v>24</v>
      </c>
      <c r="N716">
        <v>816.48</v>
      </c>
      <c r="O716">
        <v>11.6</v>
      </c>
      <c r="P716">
        <v>14.1020435069216</v>
      </c>
      <c r="Q716">
        <v>4.5999832694901972</v>
      </c>
      <c r="R716">
        <v>49.513759914465531</v>
      </c>
      <c r="S716">
        <v>17.071547167193199</v>
      </c>
      <c r="T716" s="3">
        <f t="shared" si="28"/>
        <v>17.071547167193199</v>
      </c>
      <c r="U716">
        <f t="shared" si="29"/>
        <v>2.9695036602715987</v>
      </c>
    </row>
    <row r="717" spans="1:21" x14ac:dyDescent="0.25">
      <c r="A717" t="s">
        <v>72</v>
      </c>
      <c r="B717">
        <v>38</v>
      </c>
      <c r="C717">
        <v>26</v>
      </c>
      <c r="D717">
        <v>1</v>
      </c>
      <c r="E717">
        <v>4</v>
      </c>
      <c r="F717">
        <v>4</v>
      </c>
      <c r="G717">
        <v>52</v>
      </c>
      <c r="H717" t="s">
        <v>682</v>
      </c>
      <c r="I717" t="s">
        <v>683</v>
      </c>
      <c r="J717" t="s">
        <v>672</v>
      </c>
      <c r="K717" t="s">
        <v>673</v>
      </c>
      <c r="L717">
        <v>2025</v>
      </c>
      <c r="M717" t="s">
        <v>24</v>
      </c>
      <c r="N717">
        <v>852.77</v>
      </c>
      <c r="O717">
        <v>12.7</v>
      </c>
      <c r="P717">
        <v>14.5455581743183</v>
      </c>
      <c r="Q717">
        <v>4.7816137999234014</v>
      </c>
      <c r="R717">
        <v>51.468812780995499</v>
      </c>
      <c r="S717">
        <v>16.939593316023981</v>
      </c>
      <c r="T717" s="3">
        <f t="shared" si="28"/>
        <v>16.939593316023981</v>
      </c>
      <c r="U717">
        <f t="shared" si="29"/>
        <v>2.3940351417056807</v>
      </c>
    </row>
    <row r="718" spans="1:21" x14ac:dyDescent="0.25">
      <c r="A718" t="s">
        <v>210</v>
      </c>
      <c r="B718">
        <v>31</v>
      </c>
      <c r="C718">
        <v>1</v>
      </c>
      <c r="D718">
        <v>3</v>
      </c>
      <c r="E718">
        <v>6</v>
      </c>
      <c r="F718">
        <v>22</v>
      </c>
      <c r="G718">
        <v>51</v>
      </c>
      <c r="H718" t="s">
        <v>693</v>
      </c>
      <c r="I718" t="s">
        <v>694</v>
      </c>
      <c r="J718" t="s">
        <v>672</v>
      </c>
      <c r="K718" t="s">
        <v>695</v>
      </c>
      <c r="L718">
        <v>2025</v>
      </c>
      <c r="M718" t="s">
        <v>24</v>
      </c>
      <c r="N718">
        <v>811.94</v>
      </c>
      <c r="O718">
        <v>11.1</v>
      </c>
      <c r="P718">
        <v>14.1029489064494</v>
      </c>
      <c r="Q718">
        <v>4.7285344174361219</v>
      </c>
      <c r="R718">
        <v>50.897471615840672</v>
      </c>
      <c r="S718">
        <v>16.608501967109202</v>
      </c>
      <c r="T718" s="3">
        <f t="shared" si="28"/>
        <v>16.608501967109202</v>
      </c>
      <c r="U718">
        <f t="shared" si="29"/>
        <v>2.5055530606598015</v>
      </c>
    </row>
    <row r="719" spans="1:21" x14ac:dyDescent="0.25">
      <c r="A719" t="s">
        <v>207</v>
      </c>
      <c r="B719">
        <v>31</v>
      </c>
      <c r="C719">
        <v>7</v>
      </c>
      <c r="D719">
        <v>3</v>
      </c>
      <c r="E719">
        <v>5</v>
      </c>
      <c r="F719">
        <v>21</v>
      </c>
      <c r="G719">
        <v>52</v>
      </c>
      <c r="H719" t="s">
        <v>674</v>
      </c>
      <c r="I719" t="s">
        <v>675</v>
      </c>
      <c r="J719" t="s">
        <v>672</v>
      </c>
      <c r="K719" t="s">
        <v>577</v>
      </c>
      <c r="L719">
        <v>2025</v>
      </c>
      <c r="M719" t="s">
        <v>24</v>
      </c>
      <c r="N719">
        <v>784.73</v>
      </c>
      <c r="O719">
        <v>12.4</v>
      </c>
      <c r="P719">
        <v>13.431007643338299</v>
      </c>
      <c r="Q719">
        <v>4.5547413434249746</v>
      </c>
      <c r="R719">
        <v>49.026780346492089</v>
      </c>
      <c r="S719">
        <v>16.42071113893364</v>
      </c>
      <c r="T719" s="3">
        <f t="shared" si="28"/>
        <v>16.42071113893364</v>
      </c>
      <c r="U719">
        <f t="shared" si="29"/>
        <v>2.9897034955953412</v>
      </c>
    </row>
    <row r="720" spans="1:21" x14ac:dyDescent="0.25">
      <c r="A720" t="s">
        <v>216</v>
      </c>
      <c r="B720">
        <v>26</v>
      </c>
      <c r="C720">
        <v>22</v>
      </c>
      <c r="D720">
        <v>3</v>
      </c>
      <c r="E720">
        <v>7</v>
      </c>
      <c r="F720">
        <v>23</v>
      </c>
      <c r="G720">
        <v>61</v>
      </c>
      <c r="H720" t="s">
        <v>670</v>
      </c>
      <c r="I720" t="s">
        <v>671</v>
      </c>
      <c r="J720" t="s">
        <v>672</v>
      </c>
      <c r="K720" t="s">
        <v>673</v>
      </c>
      <c r="L720">
        <v>2025</v>
      </c>
      <c r="M720" t="s">
        <v>24</v>
      </c>
      <c r="N720">
        <v>548.86</v>
      </c>
      <c r="O720">
        <v>9.1999999999999993</v>
      </c>
      <c r="P720">
        <v>9.7371455983018809</v>
      </c>
      <c r="Q720">
        <v>3.332924738641668</v>
      </c>
      <c r="R720">
        <v>35.875268594265052</v>
      </c>
      <c r="S720">
        <v>16.268714633554399</v>
      </c>
      <c r="T720" s="3">
        <f t="shared" si="28"/>
        <v>16.268714633554399</v>
      </c>
      <c r="U720">
        <f t="shared" si="29"/>
        <v>6.5315690352525184</v>
      </c>
    </row>
    <row r="721" spans="1:21" x14ac:dyDescent="0.25">
      <c r="A721" t="s">
        <v>167</v>
      </c>
      <c r="B721">
        <v>42</v>
      </c>
      <c r="C721">
        <v>17</v>
      </c>
      <c r="D721">
        <v>2</v>
      </c>
      <c r="E721">
        <v>4</v>
      </c>
      <c r="F721">
        <v>12</v>
      </c>
      <c r="G721">
        <v>52</v>
      </c>
      <c r="H721" t="s">
        <v>528</v>
      </c>
      <c r="I721" t="s">
        <v>529</v>
      </c>
      <c r="J721" t="s">
        <v>672</v>
      </c>
      <c r="K721" t="s">
        <v>530</v>
      </c>
      <c r="L721">
        <v>2025</v>
      </c>
      <c r="M721" t="s">
        <v>24</v>
      </c>
      <c r="N721">
        <v>889.06</v>
      </c>
      <c r="O721">
        <v>12.8</v>
      </c>
      <c r="P721">
        <v>15.1471801392307</v>
      </c>
      <c r="Q721">
        <v>5.188938261711173</v>
      </c>
      <c r="R721">
        <v>55.853212555232894</v>
      </c>
      <c r="S721">
        <v>16.255501447614161</v>
      </c>
      <c r="T721" s="3">
        <f t="shared" si="28"/>
        <v>16.255501447614161</v>
      </c>
      <c r="U721">
        <f t="shared" si="29"/>
        <v>1.1083213083834611</v>
      </c>
    </row>
    <row r="722" spans="1:21" x14ac:dyDescent="0.25">
      <c r="A722" t="s">
        <v>184</v>
      </c>
      <c r="B722">
        <v>61</v>
      </c>
      <c r="C722">
        <v>8</v>
      </c>
      <c r="D722">
        <v>2</v>
      </c>
      <c r="E722">
        <v>8</v>
      </c>
      <c r="F722">
        <v>16</v>
      </c>
      <c r="G722">
        <v>52</v>
      </c>
      <c r="H722" t="s">
        <v>678</v>
      </c>
      <c r="I722" t="s">
        <v>679</v>
      </c>
      <c r="J722" t="s">
        <v>672</v>
      </c>
      <c r="K722" t="s">
        <v>577</v>
      </c>
      <c r="L722">
        <v>2025</v>
      </c>
      <c r="M722" t="s">
        <v>24</v>
      </c>
      <c r="N722">
        <v>875.45</v>
      </c>
      <c r="O722">
        <v>13.2</v>
      </c>
      <c r="P722">
        <v>14.846883694896301</v>
      </c>
      <c r="Q722">
        <v>5.3025683837341662</v>
      </c>
      <c r="R722">
        <v>57.07631582567619</v>
      </c>
      <c r="S722">
        <v>15.591794876706965</v>
      </c>
      <c r="T722" s="3">
        <f t="shared" si="28"/>
        <v>15.591794876706965</v>
      </c>
      <c r="U722">
        <f t="shared" si="29"/>
        <v>0.7449111818106644</v>
      </c>
    </row>
    <row r="723" spans="1:21" x14ac:dyDescent="0.25">
      <c r="A723" t="s">
        <v>191</v>
      </c>
      <c r="B723">
        <v>15</v>
      </c>
      <c r="C723">
        <v>25</v>
      </c>
      <c r="D723">
        <v>3</v>
      </c>
      <c r="E723">
        <v>1</v>
      </c>
      <c r="F723">
        <v>17</v>
      </c>
      <c r="G723">
        <v>51</v>
      </c>
      <c r="H723" t="s">
        <v>699</v>
      </c>
      <c r="I723" t="s">
        <v>700</v>
      </c>
      <c r="J723" t="s">
        <v>672</v>
      </c>
      <c r="K723" t="s">
        <v>673</v>
      </c>
      <c r="L723">
        <v>2025</v>
      </c>
      <c r="M723" t="s">
        <v>24</v>
      </c>
      <c r="N723">
        <v>530.71</v>
      </c>
      <c r="O723">
        <v>11.7</v>
      </c>
      <c r="P723">
        <v>9.1559246254255306</v>
      </c>
      <c r="Q723">
        <v>3.442328761864919</v>
      </c>
      <c r="R723">
        <v>37.052882559837798</v>
      </c>
      <c r="S723">
        <v>14.811428534924994</v>
      </c>
      <c r="T723" s="3">
        <f t="shared" si="28"/>
        <v>14.811428534924994</v>
      </c>
      <c r="U723">
        <f t="shared" si="29"/>
        <v>5.6555039094994637</v>
      </c>
    </row>
  </sheetData>
  <autoFilter ref="J1:J723" xr:uid="{00000000-0001-0000-0000-000000000000}">
    <filterColumn colId="0">
      <filters>
        <filter val="2512"/>
      </filters>
    </filterColumn>
  </autoFilter>
  <sortState xmlns:xlrd2="http://schemas.microsoft.com/office/spreadsheetml/2017/richdata2" ref="A628:U723">
    <sortCondition descending="1" ref="T1:T723"/>
  </sortState>
  <pageMargins left="0.75" right="0.75" top="1" bottom="1" header="0.5" footer="0.5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CF52-2FB6-4591-AF8C-84831F1F4530}">
  <dimension ref="A1"/>
  <sheetViews>
    <sheetView workbookViewId="0">
      <selection activeCell="K10" sqref="K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Bazrafkan, Aliasghar</cp:lastModifiedBy>
  <dcterms:created xsi:type="dcterms:W3CDTF">2026-02-06T17:29:33Z</dcterms:created>
  <dcterms:modified xsi:type="dcterms:W3CDTF">2026-02-10T00:59:57Z</dcterms:modified>
</cp:coreProperties>
</file>